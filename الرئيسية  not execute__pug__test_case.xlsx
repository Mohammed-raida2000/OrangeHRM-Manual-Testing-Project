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ملفات جودة  البرمجيات\QA متقدم\OrangeHRM-Manual-Testing-Project\ملفات من  م.اريج  العشي\"/>
    </mc:Choice>
  </mc:AlternateContent>
  <xr:revisionPtr revIDLastSave="0" documentId="13_ncr:1_{1323479B-8CB9-4F4B-9092-7C72561C3C82}" xr6:coauthVersionLast="36" xr6:coauthVersionMax="36" xr10:uidLastSave="{00000000-0000-0000-0000-000000000000}"/>
  <bookViews>
    <workbookView xWindow="0" yWindow="0" windowWidth="23040" windowHeight="8952" tabRatio="500" activeTab="3" xr2:uid="{00000000-000D-0000-FFFF-FFFF00000000}"/>
  </bookViews>
  <sheets>
    <sheet name="Requirement Traceability Matrix" sheetId="1" r:id="rId1"/>
    <sheet name="Summary" sheetId="2" r:id="rId2"/>
    <sheet name="Test Cases" sheetId="3" r:id="rId3"/>
    <sheet name="Bugs" sheetId="4" r:id="rId4"/>
    <sheet name="Legend" sheetId="5" r:id="rId5"/>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J2" i="4" l="1"/>
  <c r="H2" i="4"/>
  <c r="F2" i="4"/>
  <c r="D2" i="4"/>
  <c r="B2" i="4"/>
  <c r="A10" i="3"/>
  <c r="K6" i="3"/>
  <c r="E6" i="3"/>
  <c r="K5" i="3"/>
  <c r="E5" i="3"/>
  <c r="K4" i="3"/>
  <c r="E4" i="3"/>
  <c r="E7" i="2"/>
  <c r="D7" i="2"/>
  <c r="C7" i="2"/>
  <c r="B7" i="2"/>
  <c r="A11" i="3" l="1"/>
  <c r="A13" i="3" l="1"/>
  <c r="A14" i="3" l="1"/>
  <c r="A15" i="3" s="1"/>
  <c r="A17" i="3" s="1"/>
  <c r="A18" i="3" s="1"/>
  <c r="A19" i="3" s="1"/>
  <c r="A21" i="3" s="1"/>
  <c r="A22" i="3" s="1"/>
  <c r="A23" i="3" s="1"/>
  <c r="A24" i="3" s="1"/>
  <c r="A25" i="3" s="1"/>
  <c r="A26" i="3" s="1"/>
  <c r="A27" i="3" s="1"/>
  <c r="A28" i="3" s="1"/>
  <c r="A29" i="3" s="1"/>
  <c r="A30" i="3" s="1"/>
  <c r="A31" i="3" s="1"/>
  <c r="A32" i="3" s="1"/>
  <c r="A33" i="3" s="1"/>
  <c r="A34" i="3" s="1"/>
  <c r="A36" i="3" s="1"/>
  <c r="A37" i="3" s="1"/>
  <c r="A38" i="3" s="1"/>
  <c r="A39" i="3" s="1"/>
  <c r="A40" i="3" s="1"/>
  <c r="A41" i="3" s="1"/>
  <c r="A42" i="3" s="1"/>
  <c r="A43" i="3" s="1"/>
  <c r="A44" i="3" s="1"/>
  <c r="A45" i="3" s="1"/>
  <c r="A46" i="3" s="1"/>
  <c r="A47" i="3" s="1"/>
  <c r="A48" i="3" s="1"/>
  <c r="A50" i="3" s="1"/>
  <c r="A51" i="3" s="1"/>
  <c r="A52" i="3" s="1"/>
  <c r="A53" i="3" s="1"/>
  <c r="A54" i="3" s="1"/>
  <c r="A55" i="3" s="1"/>
  <c r="A56" i="3" s="1"/>
  <c r="A57" i="3" s="1"/>
  <c r="A58" i="3" s="1"/>
  <c r="A59" i="3" s="1"/>
  <c r="A60" i="3" s="1"/>
  <c r="A61" i="3" s="1"/>
  <c r="A62" i="3" s="1"/>
  <c r="A63" i="3" s="1"/>
  <c r="A65" i="3" s="1"/>
  <c r="A66" i="3" s="1"/>
  <c r="A67" i="3" s="1"/>
  <c r="A68" i="3" s="1"/>
  <c r="A69" i="3" s="1"/>
  <c r="A70" i="3" s="1"/>
  <c r="A71" i="3" s="1"/>
  <c r="A72" i="3" s="1"/>
  <c r="A73" i="3" s="1"/>
  <c r="A74" i="3" s="1"/>
  <c r="A75" i="3" s="1"/>
  <c r="A76" i="3" s="1"/>
  <c r="A77" i="3" s="1"/>
  <c r="A79" i="3" s="1"/>
  <c r="A80" i="3" s="1"/>
  <c r="A81" i="3" s="1"/>
  <c r="A82" i="3" s="1"/>
  <c r="A83" i="3" s="1"/>
  <c r="A84" i="3" s="1"/>
  <c r="A85" i="3" s="1"/>
  <c r="A87" i="3" s="1"/>
  <c r="A88" i="3" s="1"/>
  <c r="A89" i="3" s="1"/>
  <c r="A90" i="3" s="1"/>
  <c r="A91" i="3" s="1"/>
  <c r="A92" i="3" s="1"/>
  <c r="A93" i="3" s="1"/>
  <c r="A94" i="3" s="1"/>
  <c r="A95" i="3" s="1"/>
  <c r="A96" i="3" s="1"/>
  <c r="A97" i="3" s="1"/>
  <c r="A98" i="3" s="1"/>
  <c r="A100" i="3" s="1"/>
  <c r="A101" i="3" s="1"/>
  <c r="A102" i="3" s="1"/>
  <c r="A103" i="3" s="1"/>
  <c r="A104" i="3" s="1"/>
  <c r="A105" i="3" s="1"/>
  <c r="A106" i="3" s="1"/>
  <c r="A107" i="3" s="1"/>
  <c r="A108" i="3" s="1"/>
  <c r="A109" i="3" s="1"/>
  <c r="A110" i="3" s="1"/>
  <c r="A111" i="3" s="1"/>
  <c r="A112" i="3" s="1"/>
  <c r="A113" i="3" s="1"/>
  <c r="A114" i="3" s="1"/>
  <c r="A115" i="3" s="1"/>
  <c r="A116" i="3" s="1"/>
  <c r="A118" i="3" s="1"/>
  <c r="A119" i="3" s="1"/>
  <c r="A120" i="3" s="1"/>
  <c r="A121" i="3" s="1"/>
  <c r="A122" i="3" s="1"/>
  <c r="A123" i="3" s="1"/>
  <c r="A124" i="3" s="1"/>
  <c r="A125" i="3" s="1"/>
  <c r="A126" i="3" s="1"/>
  <c r="A127" i="3" s="1"/>
  <c r="A128" i="3" s="1"/>
  <c r="A129" i="3" s="1"/>
  <c r="A131" i="3" s="1"/>
  <c r="A132" i="3" s="1"/>
  <c r="A133" i="3" s="1"/>
  <c r="A134" i="3" s="1"/>
  <c r="A135" i="3" s="1"/>
  <c r="A136" i="3" s="1"/>
  <c r="A137" i="3" s="1"/>
  <c r="A138" i="3" s="1"/>
  <c r="A139" i="3" s="1"/>
  <c r="A141" i="3" s="1"/>
  <c r="A142" i="3" s="1"/>
  <c r="A143" i="3" s="1"/>
  <c r="A144" i="3" s="1"/>
  <c r="A145" i="3" s="1"/>
  <c r="A146" i="3" s="1"/>
  <c r="A147" i="3" s="1"/>
  <c r="A148" i="3" s="1"/>
  <c r="A149" i="3" s="1"/>
  <c r="A150" i="3" s="1"/>
  <c r="A151" i="3" s="1"/>
  <c r="A153" i="3" s="1"/>
  <c r="A154" i="3" s="1"/>
  <c r="A155" i="3" s="1"/>
  <c r="A156" i="3" s="1"/>
  <c r="A157" i="3" s="1"/>
  <c r="A158" i="3" s="1"/>
  <c r="A160" i="3" s="1"/>
  <c r="A161" i="3" s="1"/>
  <c r="A162" i="3" s="1"/>
  <c r="A163" i="3" s="1"/>
  <c r="A164" i="3" s="1"/>
  <c r="A165" i="3" s="1"/>
  <c r="A166" i="3" s="1"/>
  <c r="A167" i="3" s="1"/>
  <c r="A168" i="3" s="1"/>
  <c r="A169" i="3" s="1"/>
  <c r="A170" i="3" s="1"/>
  <c r="A171" i="3" s="1"/>
  <c r="A172" i="3" s="1"/>
  <c r="A174" i="3" s="1"/>
  <c r="A175" i="3" s="1"/>
  <c r="A176" i="3" s="1"/>
  <c r="A177" i="3" s="1"/>
  <c r="A178" i="3" s="1"/>
  <c r="A180" i="3" s="1"/>
  <c r="A181" i="3" s="1"/>
  <c r="A182" i="3" s="1"/>
  <c r="A183" i="3" s="1"/>
  <c r="A184" i="3" s="1"/>
  <c r="A186" i="3" s="1"/>
  <c r="A187" i="3" s="1"/>
  <c r="A188" i="3" s="1"/>
  <c r="A190" i="3" s="1"/>
  <c r="A191" i="3" s="1"/>
  <c r="A192" i="3" s="1"/>
  <c r="A194" i="3" s="1"/>
  <c r="A195" i="3" s="1"/>
  <c r="A196" i="3" s="1"/>
  <c r="A198" i="3" s="1"/>
  <c r="A199" i="3" s="1"/>
  <c r="A201" i="3" s="1"/>
  <c r="A202" i="3" s="1"/>
  <c r="A203" i="3" s="1"/>
  <c r="A204" i="3" s="1"/>
  <c r="A206" i="3" s="1"/>
  <c r="A207" i="3" s="1"/>
  <c r="A208" i="3" s="1"/>
  <c r="A210" i="3" s="1"/>
  <c r="A211" i="3" s="1"/>
  <c r="A212" i="3" s="1"/>
  <c r="A213" i="3" s="1"/>
  <c r="A214" i="3" s="1"/>
  <c r="A216" i="3" s="1"/>
  <c r="A217" i="3" s="1"/>
  <c r="A218" i="3" s="1"/>
  <c r="A219" i="3" s="1"/>
  <c r="A220" i="3" s="1"/>
  <c r="A221" i="3" s="1"/>
  <c r="A222" i="3" s="1"/>
  <c r="A223" i="3" s="1"/>
  <c r="A225" i="3" s="1"/>
  <c r="A226" i="3" s="1"/>
  <c r="A227" i="3" s="1"/>
  <c r="A228" i="3" s="1"/>
  <c r="A229" i="3" s="1"/>
  <c r="A230" i="3" s="1"/>
  <c r="A231" i="3" s="1"/>
  <c r="A233" i="3" s="1"/>
  <c r="A234" i="3" s="1"/>
  <c r="A235" i="3" s="1"/>
  <c r="A236" i="3" s="1"/>
  <c r="A237" i="3" s="1"/>
  <c r="A239" i="3" s="1"/>
  <c r="A240" i="3" s="1"/>
  <c r="A241" i="3" s="1"/>
  <c r="A242" i="3" s="1"/>
  <c r="A243" i="3" s="1"/>
  <c r="A245" i="3" s="1"/>
  <c r="A246" i="3" s="1"/>
  <c r="A247" i="3" s="1"/>
  <c r="A248" i="3" s="1"/>
  <c r="A249" i="3" s="1"/>
  <c r="K3" i="3" l="1"/>
  <c r="E3" i="3"/>
</calcChain>
</file>

<file path=xl/sharedStrings.xml><?xml version="1.0" encoding="utf-8"?>
<sst xmlns="http://schemas.openxmlformats.org/spreadsheetml/2006/main" count="3393" uniqueCount="970">
  <si>
    <t>Requirement Traceability Matrix</t>
  </si>
  <si>
    <t>Req ID</t>
  </si>
  <si>
    <t>Test Case ID</t>
  </si>
  <si>
    <t>Requirement Title</t>
  </si>
  <si>
    <t>Requirement Description</t>
  </si>
  <si>
    <t>Test Case Title</t>
  </si>
  <si>
    <t>Priority</t>
  </si>
  <si>
    <t>Test Status</t>
  </si>
  <si>
    <t>Execution Status</t>
  </si>
  <si>
    <t>Defect ID</t>
  </si>
  <si>
    <t>Notes</t>
  </si>
  <si>
    <t>REQ-AUTH-001</t>
  </si>
  <si>
    <t>TC-184 to TC-191</t>
  </si>
  <si>
    <t>Valid Login Authentication</t>
  </si>
  <si>
    <t>Valid User Credentials Authentication</t>
  </si>
  <si>
    <t>TC-184: Valid Login With Correct Credentials
TC-185: Redirect To Dashboard After Login
TC-186: Password Field Masking
TC-187: Login Rejected With Empty Password
TC-188: Login Rejected With Empty Username
TC-189: Forgot Password Link Functionality
TC-190: Session Persistence After Login
TC-191: Login Button Functionality</t>
  </si>
  <si>
    <t>High</t>
  </si>
  <si>
    <t>Test Ready</t>
  </si>
  <si>
    <t>Not Executed</t>
  </si>
  <si>
    <t>REQ-AUTH-002</t>
  </si>
  <si>
    <t>TC-192 to TC-198</t>
  </si>
  <si>
    <t>Invalid Login Error Handling</t>
  </si>
  <si>
    <t>Invalid Credentials Error Handling</t>
  </si>
  <si>
    <t>TC-192: Login Error With Wrong Password
TC-193: Login Error With Invalid Username
TC-194: Login Error With Empty Credentials
TC-195: Generic Login Error Message
TC-196: Username Field Injection Prevention
TC-197: Account Lockout After Failed Attempts
TC-198: Login Error Message Clears On Valid Retry</t>
  </si>
  <si>
    <t>REQ-RBAC-001</t>
  </si>
  <si>
    <t>TC-199 to TC-203</t>
  </si>
  <si>
    <t>Admin Role Full Access</t>
  </si>
  <si>
    <t>Administrator Full System Access</t>
  </si>
  <si>
    <t>TC-199: Admin Login And Menu Access
TC-200: Admin Sub Menus Access
TC-201: Admin Full Modules Access
TC-202: Admin Full CRUD Access
TC-203: Admin Role Display Validation</t>
  </si>
  <si>
    <t>REQ-RBAC-002</t>
  </si>
  <si>
    <t>TC-204 to TC-208</t>
  </si>
  <si>
    <t>User Role Data Access Control</t>
  </si>
  <si>
    <t>User Personal Data Access Control</t>
  </si>
  <si>
    <t>TC-204: User Redirect To Own Personal Details
TC-205: User Admin Menu Access Restriction
TC-206: User Own Record Access Restriction
TC-207: URL Manipulation Access Prevention
TC-208: User Menu Role Based Restriction</t>
  </si>
  <si>
    <t>REQ-SECURITY-001</t>
  </si>
  <si>
    <t>TC-209 to TC-213</t>
  </si>
  <si>
    <t>Sensitive Field Edit Restriction</t>
  </si>
  <si>
    <t>Sensitive Field Edit Restrictions</t>
  </si>
  <si>
    <t>TC-209: Employee ID Edit Restriction Global
TC-210: Salary Pay Grade Edit Restriction
TC-211: Job Fields Edit Restriction
TC-212: Report To Assignment Edit Restriction
TC-213: Restricted Field Bypass Prevention</t>
  </si>
  <si>
    <t xml:space="preserve">REQ-001 </t>
  </si>
  <si>
    <t>TC-001 to TC-003</t>
  </si>
  <si>
    <t>Personal Details First Login Display</t>
  </si>
  <si>
    <t>The system shall display the personal Details screen upon the user’s first successful login and allow the user to view and edit their personal information.</t>
  </si>
  <si>
    <t>TC-001: Personal Details Screen Display On First Login
TC-002: Personal Information View
TC-003: Personal Details Fields Edit</t>
  </si>
  <si>
    <t>REQ-002</t>
  </si>
  <si>
    <t>TC-004 to TC-006</t>
  </si>
  <si>
    <t>Personal Details Restricted Fields</t>
  </si>
  <si>
    <t>The system shall restrict the user’s ability to modify certain fields in the Personal Details screen, including Employee ID, Driver License Number, and Date of Birth</t>
  </si>
  <si>
    <t>TC-004: Employee ID Field Edit Restriction
TC-005: Driver License Number Field Edit Restriction
TC-006: Date Of Birth Field Edit Restriction</t>
  </si>
  <si>
    <t>REQ-003</t>
  </si>
  <si>
    <t>TC-007 to TC-009</t>
  </si>
  <si>
    <t>Personal Details Photo Upload</t>
  </si>
  <si>
    <t>The system shall allow the user to upload a photograph to the Personal Details screen, with a maximum file size of 1 MB and in one of the following formats: JPG, PNG, or GIF.</t>
  </si>
  <si>
    <t>TC-007: Photo Upload Screen Trigger
TC-008: Photo Upload Size Limit Validation
TC-009: Photo Upload Valid Format And Size</t>
  </si>
  <si>
    <t>Medium</t>
  </si>
  <si>
    <t>REQ-004</t>
  </si>
  <si>
    <t>TC-010 to TC-023</t>
  </si>
  <si>
    <t>Contact Details Information</t>
  </si>
  <si>
    <t>The system shall allow users to edit their contact information in the Personal Details screen, including Country, Street 1, Street 2, City/Town, State/Province, ZIP Code, Home Telephone, Mobile, Work Telephone, Work Email, and Other Email.</t>
  </si>
  <si>
    <t>TC-010: Contact Details Sub Window Display
TC-011: Country Dropdown List Display
TC-012: Save With Empty Fields Validation
TC-013: Telephone Fields Invalid Input Error Message
TC-014: Country Field Edit
TC-015: Street 1 And Street 2 Fields Edit
TC-016: City Town Field Edit
TC-017: State Province Field Dynamic Switch By Country
TC-018: City Town Field Invalid Input Validation
TC-019: Telephone Fields Max Digits Validation
TC-020: Email Fields Invalid Format Validation
TC-021: ZIP Code Invalid Input Validation
TC-022: Contact Details Save Button Functionality
TC-023: Save Button Rejects Invalid Inputs</t>
  </si>
  <si>
    <t>REQ-005</t>
  </si>
  <si>
    <t>TC-024 to TC-036</t>
  </si>
  <si>
    <t>Emergency Contacts Management</t>
  </si>
  <si>
    <t>The system shall allow users to add, edit, and delete one or more emergency contacts, and upload appropriate attachments in the Emergency Contacts screen.</t>
  </si>
  <si>
    <t>TC-024: Emergency Contacts Screen Display
TC-025: Emergency Contact Add Valid Entry
TC-026: Emergency Contact Required Field Validation
TC-027: Emergency Contact Telephone Fields Invalid Input Validation
TC-028: Emergency Contact Multiple Entries Add
TC-029: Emergency Contact Edit Entry
TC-030: Emergency Contact Single Entry Delete
TC-031: Emergency Contact Multiple Entries Delete
TC-032: Emergency Contact Attachment Upload
TC-033: Emergency Contact Attachment Format Validation
TC-034: Emergency Contact Attachment Size Limit Validation
TC-035: Emergency Contacts Save Button Functionality
TC-036: Emergency Contacts Cancel Button Functionality</t>
  </si>
  <si>
    <t>REQ-006</t>
  </si>
  <si>
    <t>TC-037 to TC-050</t>
  </si>
  <si>
    <t>Dependents Management</t>
  </si>
  <si>
    <t>The system shall allow users to add, edit, and delete one or more dependents, and upload appropriate attachments in the Dependents screen</t>
  </si>
  <si>
    <t>TC-037: Dependents Screen Display
TC-038: Dependent Add Valid Entry
TC-039: Dependent Multiple Entries Add
TC-040: Dependent Edit Entry
TC-041: Dependent Single Entry Delete
TC-042: Dependent Multiple Entries Delete
TC-043: Dependent Attachment Upload
TC-044: Dependent Attachment Format Validation
TC-045: Dependent Attachment Size Limit Validation
TC-046: Dependent Required Field Validation
TC-047: Dependent Date Of Birth Invalid Input Validation
TC-048: Dependents Save Button Functionality
TC-049: Dependents Cancel Button Functionality
TC-050: Dependent Name Field Invalid Input Validation</t>
  </si>
  <si>
    <t>REQ-007</t>
  </si>
  <si>
    <t>TC-051 to TC-063</t>
  </si>
  <si>
    <t>Immigration Documents Management</t>
  </si>
  <si>
    <t>The system shall allow users to add, delete, and enter comments for one or more immigration documents (Passport/Visa) along with their related details, and upload attachments associated with each immigration document</t>
  </si>
  <si>
    <t>TC-051: Immigration Screen Display
TC-052: Immigration Document Add Valid Entry
TC-053: Immigration Document Multiple Entries Add
TC-054: Immigration Document Edit Entry
TC-055: Immigration Document Single Entry Delete
TC-056: Immigration Document Multiple Entries Delete
TC-057: Immigration Document Attachment Upload
TC-058: Immigration Document Attachment Format Validation
TC-059: Immigration Document Attachment Size Limit Validation
TC-060: Immigration Document Required Field Validation
TC-061: Immigration Document Save Button Functionality
TC-062: Immigration Document Cancel Button Functionality
TC-063: Immigration Document Issue Date Validation</t>
  </si>
  <si>
    <t>REQ-008</t>
  </si>
  <si>
    <t>TC-064, TC-065, TC-069, TC-070</t>
  </si>
  <si>
    <t>Job Details View-Only Access</t>
  </si>
  <si>
    <t>The system shall restrict the User from editing any fields in the Job Details screen, allowing the user to only view pre-defined job details.</t>
  </si>
  <si>
    <t>TC-064: Job Screen Display
TC-065: Job Details Fields Edit Restriction
TC-069: Job Company Name Field Invalid Input Validation
TC-070: Job Title Field Invalid Input Validation</t>
  </si>
  <si>
    <t>REQ-009</t>
  </si>
  <si>
    <t>TC-066 to TC-067</t>
  </si>
  <si>
    <t>Salary Information Restriction</t>
  </si>
  <si>
    <t>The system shall hide salary information from the User, and restrict the user from editing any salary details fields</t>
  </si>
  <si>
    <t>TC-066: Salary Information Visibility Restriction
TC-067: Salary Details Fields Edit Restriction</t>
  </si>
  <si>
    <t>REQ-010</t>
  </si>
  <si>
    <t>TC-068</t>
  </si>
  <si>
    <t>Report To View-Only Access</t>
  </si>
  <si>
    <t>The system shall restrict the User from editing the "Report To" information and allow the user to only view the list of assigned supervisors or subordinates, including any attachments.</t>
  </si>
  <si>
    <t>TC-068: Report To Section Edit Restriction And View Access</t>
  </si>
  <si>
    <t>REQ-011</t>
  </si>
  <si>
    <t>TC-071 to TC-082</t>
  </si>
  <si>
    <t>Work Experience Records</t>
  </si>
  <si>
    <t>The system shall allow users to add, edit, and delete one or multiple entries in the Work Experience section. Deletion may be performed by selecting single or multiple checkboxes and clicking “Delete.</t>
  </si>
  <si>
    <t>TC-071: Work Experience Future Date Validation
TC-072: Work Experience To Date Before From Date Validation
TC-073: Work Experience Required Field Validation
TC-074: Work Experience Add Entry Screen Display
TC-075: Work Experience Add Valid Entry
TC-076: Work Experience Multiple Entries Add
TC-077: Work Experience Edit Entry
TC-078: Work Experience Edit Entry Isolation
TC-079: Work Experience Single Entry Delete
TC-080: Work Experience Multiple Entries Delete
TC-081: Work Experience Save Button Functionality
TC-082: Work Experience Cancel Button Functionality</t>
  </si>
  <si>
    <t>REQ-012</t>
  </si>
  <si>
    <t>TC-083 to TC-099</t>
  </si>
  <si>
    <t>Education Records</t>
  </si>
  <si>
    <t>The system shall allow users to add, edit, and delete one or multiple entries in the Education section. Deletion may be performed by selecting single or multiple checkboxes and clicking “Delete.</t>
  </si>
  <si>
    <t>TC-083: Education Add Entry Screen Display
TC-084: Education Add Valid Entry
TC-085: Education Multiple Entries Add
TC-086: Education Edit Entry
TC-087: Education Edit Entry Isolation
TC-088: Education Single Entry Delete
TC-089: Education Multiple Entries Delete
TC-090: Education Save Button Functionality
TC-091: Education Cancel Button Functionality
TC-092: Education Required Field Validation
TC-093: Education Major Specialization Field Invalid Input Validation
TC-094: Education Institution Field Invalid Input Validation
TC-095: Education Year Field Invalid Input Validation
TC-096: Education Year Field Format Validation
TC-097: Education GPA Score Field Invalid Input Validation
TC-098: Education Future Date Validation
TC-099: Education End Date Before Start Date Validation</t>
  </si>
  <si>
    <t>REQ-013</t>
  </si>
  <si>
    <t>TC-100 to TC-111</t>
  </si>
  <si>
    <t>Skills Records</t>
  </si>
  <si>
    <t>The system shall allow users to add, edit, and delete one or multiple entries in the Skills section. Deletion may be performed by selecting single or multiple checkboxes and clicking “Delete</t>
  </si>
  <si>
    <t>TC-100: Skills Add Entry Screen Display
TC-101: Skills Dropdown Options Validation
TC-102: Skills Years Of Experience Field Invalid Input Validation
TC-103: Skills Duplicate Selection Prevention
TC-104: Skills Add Valid Entry
TC-105: Skills Multiple Entries Add
TC-106: Skills Edit Entry
TC-107: Skills Edit Entry Isolation
TC-108: Skills Single Entry Delete
TC-109: Skills Multiple Entries Delete
TC-110: Skills Save Button Functionality
TC-111: Skills Cancel Button Functionality</t>
  </si>
  <si>
    <t>REQ-14</t>
  </si>
  <si>
    <t>TC-112 to TC-120</t>
  </si>
  <si>
    <t>Language Competency Records</t>
  </si>
  <si>
    <t>The system shall allow users to add multiple languages of competency with their corresponding competency levels. The system shall display each saved language entry in the Language list. The system shall allow users to delete one or multiple language entries by selecting the corresponding checkboxes and clicking “Delete</t>
  </si>
  <si>
    <t>TC-112: Language Add Entry Screen Display
TC-113: Language Add Valid Entry
TC-114: Language Multiple Entries Add
TC-115: Language Edit Entry
TC-116: Language Single Entry Delete
TC-117: Language Multiple Entries Delete
TC-118: Language Save Button Functionality
TC-119: Language Cancel Button Functionality
TC-120: Language Required Field Validation</t>
  </si>
  <si>
    <t>REQ-015</t>
  </si>
  <si>
    <t>TC-121 to TC-131</t>
  </si>
  <si>
    <t>License Records</t>
  </si>
  <si>
    <t>The system shall allow users to add multiple license entries by entering the required details and clicking “Save.” The system shall display each saved license in the License list. The system shall allow users to delete one or multiple license entries by selecting the corresponding checkboxes and clicking “Delete</t>
  </si>
  <si>
    <t>TC-121: License Add Entry Screen Display
TC-122: License Add Valid Entry
TC-123: License Multiple Entries Add
TC-124: License Edit Entry
TC-125: License Single Entry Delete
TC-126: License Multiple Entries Delete
TC-127: License Number Field Invalid Input Validation
TC-128: License Required Field Validation
TC-129: License Issue Expiry Date Future Date Validation
TC-130: License Save Button Functionality
TC-131: License Cancel Button Functionality</t>
  </si>
  <si>
    <t>REQ-016</t>
  </si>
  <si>
    <t>TC-132 to TC-137</t>
  </si>
  <si>
    <t>Qualification Attachments</t>
  </si>
  <si>
    <t> The system shall allow users to attach multiple supporting documents related to their qualifications. Each document shall not exceed 1 megabyte in size. The system shall display each uploaded document in the attachment list. The system shall allow users to delete one or multiple attachments by selecting the corresponding checkboxes and clicking “Delete</t>
  </si>
  <si>
    <t>TC-132: Qualification Attachment Upload
TC-133: Qualification Attachment Format Validation
TC-134: Qualification Attachment Size Limit Validation
TC-135: Qualification Multiple Attachments Add
TC-136: Qualification Multiple Attachments Delete
TC-137: Qualification Attachment Edit</t>
  </si>
  <si>
    <t>REQ-017</t>
  </si>
  <si>
    <t>TC-138 to TC-150</t>
  </si>
  <si>
    <t>Membership Records</t>
  </si>
  <si>
    <t>The system shall allow users to add, view, edit, and delete single or multiple membership records, and to upload supporting attachments for each membership</t>
  </si>
  <si>
    <t>TC-138: Membership Add Entry Screen Display
TC-139: Membership Add Valid Entry
TC-140: Membership Multiple Entries Add
TC-141: Membership Edit Entry
TC-142: Membership Single Entry Delete
TC-143: Membership Multiple Entries Delete
TC-144: Membership Save Button Functionality
TC-145: Membership Cancel Button Functionality
TC-146: Membership Attachment Upload
TC-147: Membership Attachment Format Validation
TC-148: Membership Multiple Attachments Add
TC-149: Membership Multiple Attachments Delete
TC-150: Membership Subscription Amount Invalid Input Validation</t>
  </si>
  <si>
    <t>REQ-ADMIN-1</t>
  </si>
  <si>
    <t>TC-151 to TC-155</t>
  </si>
  <si>
    <t>User Accounts &amp; Roles Management</t>
  </si>
  <si>
    <t>The system shall allow Admins to fully manage users and roles, including adding/editing/deleting accounts, assigning access levels, and enabling/disabling users.</t>
  </si>
  <si>
    <t>TC-151: Add User Account
TC-152: Edit User Account
TC-153: Delete User Account
TC-154: Assign User Role And Access Level
TC-155: Enable Disable User Account</t>
  </si>
  <si>
    <t>REQ-ADMIN-2</t>
  </si>
  <si>
    <t>TC-156 to TC-160</t>
  </si>
  <si>
    <t>Job Titles &amp; Pay Grades</t>
  </si>
  <si>
    <t>The system shall allow the Admin to manage job titles (add, edit, delete, and list multiple titles) and to define pay grades by setting salary ranges, step increases, and currencies</t>
  </si>
  <si>
    <t>TC-156: Add Job Title
TC-157: Edit Job Title
TC-158: Delete Job Title
TC-159: Add Pay Grade With Salary Range
TC-160: Add Pay Grade Step Increase</t>
  </si>
  <si>
    <t>REQ-ADMIN-3</t>
  </si>
  <si>
    <t>TC-161 to TC-163</t>
  </si>
  <si>
    <t>Employment Status Management</t>
  </si>
  <si>
    <t>The system shall allow the Admin to define the status of employment employees (add, edit, delete employment status)</t>
  </si>
  <si>
    <t>TC-161: Add Employment Status
TC-162: Edit Employment Status
TC-163: Delete Employment Status</t>
  </si>
  <si>
    <t>REQ-ADMIN-4</t>
  </si>
  <si>
    <t>TC-164 to TC-166</t>
  </si>
  <si>
    <t>Job Categories Management</t>
  </si>
  <si>
    <t>The system shall allow the Admin to create job categories (add) or edit/delete the job categories</t>
  </si>
  <si>
    <t>TC-164: Add Job Category
TC-165: Edit Job Category
TC-166: Delete Job Category</t>
  </si>
  <si>
    <t>REQ-ADMIN-5</t>
  </si>
  <si>
    <t>TC-167 to TC-169</t>
  </si>
  <si>
    <t>Work Shifts Management</t>
  </si>
  <si>
    <t>The system shall allow the Admin to define work shifts by adding or editing or deleting them</t>
  </si>
  <si>
    <t>TC-167: Add Work Shift
TC-168: Edit Work Shift
TC-169: Delete Work Shift</t>
  </si>
  <si>
    <t>REQ-ADMIN-6</t>
  </si>
  <si>
    <t>TC-170 to TC-171</t>
  </si>
  <si>
    <t>Company General Information</t>
  </si>
  <si>
    <t>The system shall allow the admin to edit the general information about the organization or the company</t>
  </si>
  <si>
    <t>TC-170: Edit General Company Information
TC-171: Company Information Invalid Input Validation</t>
  </si>
  <si>
    <t>REQ-ADMIN-7</t>
  </si>
  <si>
    <t>TC-172 to TC-175</t>
  </si>
  <si>
    <t>Company Sites &amp; Branches</t>
  </si>
  <si>
    <t>The system shall allow the admin to add details of sites and branches of the company or editing or deleting them also the Admin can search for a specific location</t>
  </si>
  <si>
    <t>TC-172: Add Company Location
TC-173: Edit Company Location
TC-174: Delete Company Location
TC-175: Search Company Location</t>
  </si>
  <si>
    <t>REQ-ADMIN-8</t>
  </si>
  <si>
    <t>TC-176 to TC-178</t>
  </si>
  <si>
    <t>Organization Structure</t>
  </si>
  <si>
    <t>The system shall allow the admin to define the structure of the organization by adding units and sub units or editing or deleting them</t>
  </si>
  <si>
    <t>TC-176: Add Organization Unit
TC-177: Edit Organization Unit
TC-178: Delete Organization Unit</t>
  </si>
  <si>
    <t>REQ-ADMIN-9</t>
  </si>
  <si>
    <t>TC-179 to TC-183</t>
  </si>
  <si>
    <t>Employee Qualifications Definitions</t>
  </si>
  <si>
    <t>The system shall allow the admin to define all informations with regards to employees qualifications by (add, edit, delete) for these qualifications like (skills, education, license, languages, memberships)</t>
  </si>
  <si>
    <t>TC-179: Manage Skill Definitions
TC-180: Manage Education Definitions
TC-181: Manage License Definitions
TC-182: Manage Language Definitions
TC-183: Manage Membership Definitions</t>
  </si>
  <si>
    <t>📋 Test Plan Summary — OrangeHRM (My Info / Admin / Authentication &amp; Security)</t>
  </si>
  <si>
    <t>Module</t>
  </si>
  <si>
    <t>Test Scenarios (TS)</t>
  </si>
  <si>
    <t>Total Test Cases</t>
  </si>
  <si>
    <t>Positive</t>
  </si>
  <si>
    <t>Negative</t>
  </si>
  <si>
    <t>My Info Module (TS_01 – TS_15)</t>
  </si>
  <si>
    <t>Admin Module (TS_16 – TS_24)</t>
  </si>
  <si>
    <t>Authentication &amp; Security (TS_25 – TS_29)</t>
  </si>
  <si>
    <t>Total</t>
  </si>
  <si>
    <t>Test Cases</t>
  </si>
  <si>
    <t>Test Authoring Status</t>
  </si>
  <si>
    <t>Test Execution Status</t>
  </si>
  <si>
    <t># of Test Cases</t>
  </si>
  <si>
    <t># of Test Cases (to be authored)</t>
  </si>
  <si>
    <t># of Test Cases Executed</t>
  </si>
  <si>
    <t># of Test Cases (Pending review)</t>
  </si>
  <si>
    <t># of Test Cases passed</t>
  </si>
  <si>
    <t># of Test Cases (Test Ready)</t>
  </si>
  <si>
    <t># of Test Cases failed</t>
  </si>
  <si>
    <t>Test Case Id</t>
  </si>
  <si>
    <t>Test Scenarios ID</t>
  </si>
  <si>
    <t>Test Case Priority</t>
  </si>
  <si>
    <t>TC AStatus</t>
  </si>
  <si>
    <t xml:space="preserve">Title  </t>
  </si>
  <si>
    <t>Pre conditions شروط  مسبقة  قبل تنفيد  ال tc</t>
  </si>
  <si>
    <t>Test Data</t>
  </si>
  <si>
    <t>Test Steps</t>
  </si>
  <si>
    <t>Expected Result</t>
  </si>
  <si>
    <t>Actual Result</t>
  </si>
  <si>
    <t>Bugs ID</t>
  </si>
  <si>
    <t>Executed By</t>
  </si>
  <si>
    <t>Executed Date</t>
  </si>
  <si>
    <t xml:space="preserve">reporter </t>
  </si>
  <si>
    <t>assignie</t>
  </si>
  <si>
    <t>enviroment</t>
  </si>
  <si>
    <t>TC Code</t>
  </si>
  <si>
    <t>TS_01 – Personal Details Screen Display And Edit Behavior</t>
  </si>
  <si>
    <t>Personal Details Screen Display On First Login</t>
  </si>
  <si>
    <t>User is logged in and has navigated to My Info &gt; Personal Details.</t>
  </si>
  <si>
    <t>N/A.</t>
  </si>
  <si>
    <t>1. Log in to the system with the appropriate role.
2. Navigate to the relevant menu/option described in the test case.
3. Observe the resulting screen/behavior.</t>
  </si>
  <si>
    <t>The system displays the Personal Details screen upon the user's first successful login.</t>
  </si>
  <si>
    <t>Mohammed Hazem Abu Raida</t>
  </si>
  <si>
    <t>Production</t>
  </si>
  <si>
    <t>REQ-001</t>
  </si>
  <si>
    <t>TC-001</t>
  </si>
  <si>
    <t>Personal Information View</t>
  </si>
  <si>
    <t>The system allows the user to view their personal information.</t>
  </si>
  <si>
    <t>TC-002</t>
  </si>
  <si>
    <t>Personal Details Fields Edit</t>
  </si>
  <si>
    <t>Existing saved record with new sample values.</t>
  </si>
  <si>
    <t>1. Select an existing entry and click Edit.
2. Modify one or more field values.
3. Click Save and verify the entry is updated.</t>
  </si>
  <si>
    <t>The system allows the user to edit certain fields in the Personal Details screen.</t>
  </si>
  <si>
    <t>TC-003</t>
  </si>
  <si>
    <t>TS_02 – Restricted Fields Edit Prevention</t>
  </si>
  <si>
    <t>Critical</t>
  </si>
  <si>
    <t>Employee ID Field Edit Restriction</t>
  </si>
  <si>
    <t>N/A (access/permission check).</t>
  </si>
  <si>
    <t>1. Navigate to the relevant screen/field as a restricted-role user.
2. Attempt to click/edit the restricted field or section.
3. Observe the field state (read-only / hidden / access denied).</t>
  </si>
  <si>
    <t>The system restricts the user's ability to modify the Employee ID field in the Personal Details screen.</t>
  </si>
  <si>
    <t>TC-004</t>
  </si>
  <si>
    <t>Driver License Number Field Edit Restriction</t>
  </si>
  <si>
    <t>The system restricts the user's ability to modify the Driver License Number field in the Personal Details screen.</t>
  </si>
  <si>
    <t>TC-005</t>
  </si>
  <si>
    <t>Date Of Birth Field Edit Restriction</t>
  </si>
  <si>
    <t>The system restricts the user's ability to modify the Date of Birth field in the Personal Details screen.</t>
  </si>
  <si>
    <t>TC-006</t>
  </si>
  <si>
    <t>TS_03 – Personal Details Photo Upload</t>
  </si>
  <si>
    <t>Photo Upload Screen Trigger</t>
  </si>
  <si>
    <t>Sample files: within/over the size limit, and in valid/invalid formats.</t>
  </si>
  <si>
    <t>1. Click Add/Upload in the attachments section.
2. Select a file to attach.
3. Click Save and check the attachment list.</t>
  </si>
  <si>
    <t>When the user clicks on the photograph placeholder, a screen appears allowing the user to upload a photo.</t>
  </si>
  <si>
    <t>TC-007</t>
  </si>
  <si>
    <t>Photo Upload Size Limit Validation</t>
  </si>
  <si>
    <t>Uploading a photo larger than 1 MB is rejected and an appropriate error message is displayed.</t>
  </si>
  <si>
    <t>TC-008</t>
  </si>
  <si>
    <t>Photo Upload Valid Format And Size</t>
  </si>
  <si>
    <t>Uploading a photo within the accepted formats (JPG, PNG, GIF) and size limit is successful.</t>
  </si>
  <si>
    <t>TC-009</t>
  </si>
  <si>
    <t>TS_04 – Contact Details Information Management</t>
  </si>
  <si>
    <t>Contact Details Sub Window Display</t>
  </si>
  <si>
    <t>User is logged in and has navigated to My Info &gt; Contact Details.</t>
  </si>
  <si>
    <t>Clicking the Contact Details button opens the sub-window for editing contact information.</t>
  </si>
  <si>
    <t>TC-010</t>
  </si>
  <si>
    <t>Country Dropdown List Display</t>
  </si>
  <si>
    <t>1. Navigate to the relevant field.
2. Click the dropdown list.
3. Verify the available options are displayed.</t>
  </si>
  <si>
    <t>The Country drop-down list displays all available countries when clicked.</t>
  </si>
  <si>
    <t>TC-011</t>
  </si>
  <si>
    <t>Save With Empty Fields Validation</t>
  </si>
  <si>
    <t>The system does not display a success message when the user clicks Save with all fields empty.</t>
  </si>
  <si>
    <t>TC-012</t>
  </si>
  <si>
    <t>Telephone Fields Invalid Input Error Message</t>
  </si>
  <si>
    <t>Invalid sample input relevant to the field (e.g. letters in a numeric field, a future date, an over-length value).</t>
  </si>
  <si>
    <t>1. Navigate to the relevant form.
2. Enter invalid data in the target field (letters/special characters/out-of-range value, as applicable).
3. Attempt to click Save.</t>
  </si>
  <si>
    <t>The system displays an appropriate error message when the user enters invalid inputs in Home Telephone, Mobile, or Work Telephone fields.</t>
  </si>
  <si>
    <t>TC-013</t>
  </si>
  <si>
    <t>Country Field Edit</t>
  </si>
  <si>
    <t>The user can edit the Country field from the drop-down list.</t>
  </si>
  <si>
    <t>TC-014</t>
  </si>
  <si>
    <t>Street 1 And Street 2 Fields Edit</t>
  </si>
  <si>
    <t>The user can edit Street 1 and Street 2 fields.</t>
  </si>
  <si>
    <t>TC-015</t>
  </si>
  <si>
    <t>City Town Field Edit</t>
  </si>
  <si>
    <t>The user can edit the City/Town field.</t>
  </si>
  <si>
    <t>TC-016</t>
  </si>
  <si>
    <t>State Province Field Dynamic Switch By Country</t>
  </si>
  <si>
    <t>The State/Province field switches correctly between dropdown and text input when changing the country selection.</t>
  </si>
  <si>
    <t>TC-017</t>
  </si>
  <si>
    <t>City Town Field Invalid Input Validation</t>
  </si>
  <si>
    <t>The City/Town field does not accept invalid inputs.</t>
  </si>
  <si>
    <t>TC-018</t>
  </si>
  <si>
    <t>Telephone Fields Max Digits Validation</t>
  </si>
  <si>
    <t>The system does not accept more than 25 digits in the Home Telephone, Mobile, and Work Telephone fields.</t>
  </si>
  <si>
    <t>TC-019</t>
  </si>
  <si>
    <t>Email Fields Invalid Format Validation</t>
  </si>
  <si>
    <t>The system does not accept invalid email format in Work Email and Other Email fields.</t>
  </si>
  <si>
    <t>TC-020</t>
  </si>
  <si>
    <t>ZIP Code Invalid Input Validation</t>
  </si>
  <si>
    <t>The system does not accept entering an invalid ZIP Code.</t>
  </si>
  <si>
    <t>TC-021</t>
  </si>
  <si>
    <t>Contact Details Save Button Functionality</t>
  </si>
  <si>
    <t>Valid sample values for all required fields.</t>
  </si>
  <si>
    <t>1. Open the Add entry form.
2. Fill in all required fields with valid data.
3. Click the Save button.</t>
  </si>
  <si>
    <t>The Save button is clickable and saves the entered information correctly.</t>
  </si>
  <si>
    <t>TC-022</t>
  </si>
  <si>
    <t>Save Button Rejects Invalid Inputs</t>
  </si>
  <si>
    <t>The Save button rejects proceeding when the user enters wrong inputs into any field.</t>
  </si>
  <si>
    <t>TC-023</t>
  </si>
  <si>
    <t>TS_05 – Emergency Contacts Management</t>
  </si>
  <si>
    <t>Emergency Contacts Screen Display</t>
  </si>
  <si>
    <t>User is logged in and has navigated to My Info &gt; Emergency Contacts.</t>
  </si>
  <si>
    <t>Clicking the Emergency Contacts option in the Personal column opens the Emergency Contacts screen.</t>
  </si>
  <si>
    <t>TC-024</t>
  </si>
  <si>
    <t>Emergency Contact Add Valid Entry</t>
  </si>
  <si>
    <t>1. Click Add to open the entry form.
2. Fill in all required fields with valid data.
3. Click Save.</t>
  </si>
  <si>
    <t>The user can add a new emergency contact by entering Name, Relationship, and Home Telephone or Mobile Number, and saving it successfully.</t>
  </si>
  <si>
    <t>TC-025</t>
  </si>
  <si>
    <t>Emergency Contact Required Field Validation</t>
  </si>
  <si>
    <t>The system cannot save an emergency contact if the user leaves any required field blank.</t>
  </si>
  <si>
    <t>TC-026</t>
  </si>
  <si>
    <t>Emergency Contact Telephone Fields Invalid Input Validation</t>
  </si>
  <si>
    <t>The Home Telephone, Mobile, and Work Telephone fields do not accept invalid inputs.</t>
  </si>
  <si>
    <t>TC-027</t>
  </si>
  <si>
    <t>Emergency Contact Multiple Entries Add</t>
  </si>
  <si>
    <t>Two or three sets of valid sample data.</t>
  </si>
  <si>
    <t>1. Click Add to open the entry form.
2. Fill in valid data and click Save.
3. Repeat the Add step to create a second (and third) entry.</t>
  </si>
  <si>
    <t>The system allows adding multiple emergency contact entries.</t>
  </si>
  <si>
    <t>TC-028</t>
  </si>
  <si>
    <t>Emergency Contact Edit Entry</t>
  </si>
  <si>
    <t>The user can edit an existing emergency contact and save the updated details.</t>
  </si>
  <si>
    <t>TC-029</t>
  </si>
  <si>
    <t>Emergency Contact Single Entry Delete</t>
  </si>
  <si>
    <t>One existing saved record.</t>
  </si>
  <si>
    <t>1. Open the relevant list/screen.
2. Select the checkbox of a single existing entry.
3. Click Delete and confirm the action.</t>
  </si>
  <si>
    <t>The user can delete a single emergency contact by selecting its checkbox and clicking Delete.</t>
  </si>
  <si>
    <t>TC-030</t>
  </si>
  <si>
    <t>Emergency Contact Multiple Entries Delete</t>
  </si>
  <si>
    <t>Two or more existing saved records.</t>
  </si>
  <si>
    <t>1. Open the relevant list/screen.
2. Select the checkboxes of two or more existing entries.
3. Click Delete and confirm the action.</t>
  </si>
  <si>
    <t>The user can delete multiple emergency contacts by selecting multiple checkboxes and clicking Delete.</t>
  </si>
  <si>
    <t>TC-031</t>
  </si>
  <si>
    <t>Emergency Contact Attachment Upload</t>
  </si>
  <si>
    <t>The user can upload an attachment in the Emergency Contacts screen using the Add and Upload options.</t>
  </si>
  <si>
    <t>TC-032</t>
  </si>
  <si>
    <t>Emergency Contact Attachment Format Validation</t>
  </si>
  <si>
    <t>The system accepts only appropriate attachment formats in the Emergency Contacts screen.</t>
  </si>
  <si>
    <t>TC-033</t>
  </si>
  <si>
    <t>Emergency Contact Attachment Size Limit Validation</t>
  </si>
  <si>
    <t>The system rejects attachments exceeding the maximum allowed file size.</t>
  </si>
  <si>
    <t>TC-034</t>
  </si>
  <si>
    <t>Emergency Contacts Save Button Functionality</t>
  </si>
  <si>
    <t>The Save button is clickable and functions correctly.</t>
  </si>
  <si>
    <t>TC-035</t>
  </si>
  <si>
    <t>Low</t>
  </si>
  <si>
    <t>Emergency Contacts Cancel Button Functionality</t>
  </si>
  <si>
    <t>Any sample field values.</t>
  </si>
  <si>
    <t>1. Open the Add/Edit entry form.
2. Enter or modify some data in the fields.
3. Click the Cancel button.</t>
  </si>
  <si>
    <t>The Cancel button is clickable and functions correctly.</t>
  </si>
  <si>
    <t>TC-036</t>
  </si>
  <si>
    <t>TS_06 – Dependents Management</t>
  </si>
  <si>
    <t>Dependents Screen Display</t>
  </si>
  <si>
    <t>User is logged in and has navigated to My Info &gt; Dependents.</t>
  </si>
  <si>
    <t>Clicking the Dependents option in the Personal column opens the Dependents screen.</t>
  </si>
  <si>
    <t>TC-037</t>
  </si>
  <si>
    <t>Dependent Add Valid Entry</t>
  </si>
  <si>
    <t>The user can add a new dependent by entering a valid Name, Relationship, and Date of Birth, and saving it successfully.</t>
  </si>
  <si>
    <t>TC-038</t>
  </si>
  <si>
    <t>Dependent Multiple Entries Add</t>
  </si>
  <si>
    <t>The system allows adding multiple dependent entries.</t>
  </si>
  <si>
    <t>TC-039</t>
  </si>
  <si>
    <t>Dependent Edit Entry</t>
  </si>
  <si>
    <t>The user can edit an existing dependent and save the updated details.</t>
  </si>
  <si>
    <t>TC-040</t>
  </si>
  <si>
    <t>Dependent Single Entry Delete</t>
  </si>
  <si>
    <t>The user can delete a single dependent by selecting its checkbox and clicking Delete.</t>
  </si>
  <si>
    <t>TC-041</t>
  </si>
  <si>
    <t>Dependent Multiple Entries Delete</t>
  </si>
  <si>
    <t>The user can delete multiple dependents by selecting multiple checkboxes and clicking Delete.</t>
  </si>
  <si>
    <t>TC-042</t>
  </si>
  <si>
    <t>Dependent Attachment Upload</t>
  </si>
  <si>
    <t>The user can upload an attachment in the Dependents screen using the Add and Upload options.</t>
  </si>
  <si>
    <t>TC-043</t>
  </si>
  <si>
    <t>Dependent Attachment Format Validation</t>
  </si>
  <si>
    <t>The system accepts only appropriate attachment formats in the Dependents screen.</t>
  </si>
  <si>
    <t>TC-044</t>
  </si>
  <si>
    <t>Dependent Attachment Size Limit Validation</t>
  </si>
  <si>
    <t>The system rejects attachments exceeding the maximum allowed file size, displaying an appropriate error message.</t>
  </si>
  <si>
    <t>TC-045</t>
  </si>
  <si>
    <t>Dependent Required Field Validation</t>
  </si>
  <si>
    <t>Required fields (Name, Relationship) cannot be left blank when saving, and that the system displays an appropriate error message.</t>
  </si>
  <si>
    <t>TC-046</t>
  </si>
  <si>
    <t>Dependent Date Of Birth Invalid Input Validation</t>
  </si>
  <si>
    <t>Entering an invalid Date of Birth displays an appropriate error message.</t>
  </si>
  <si>
    <t>TC-047</t>
  </si>
  <si>
    <t>Dependents Save Button Functionality</t>
  </si>
  <si>
    <t>The Save button is clickable and saves the dependent entries correctly.</t>
  </si>
  <si>
    <t>TC-048</t>
  </si>
  <si>
    <t>Dependents Cancel Button Functionality</t>
  </si>
  <si>
    <t>The Cancel button is clickable and functions correctly, discarding any unsaved changes.</t>
  </si>
  <si>
    <t>TC-049</t>
  </si>
  <si>
    <t>Dependent Name Field Invalid Input Validation</t>
  </si>
  <si>
    <t>The Name field does not accept invalid inputs.</t>
  </si>
  <si>
    <t>TC-050</t>
  </si>
  <si>
    <t>TS_07 – Immigration Documents Management</t>
  </si>
  <si>
    <t>Immigration Screen Display</t>
  </si>
  <si>
    <t>User is logged in and has navigated to My Info &gt; Immigration.</t>
  </si>
  <si>
    <t>Clicking the Immigration option in the Personal column opens the Immigration screen.</t>
  </si>
  <si>
    <t>TC-051</t>
  </si>
  <si>
    <t>Immigration Document Add Valid Entry</t>
  </si>
  <si>
    <t>The user can add a new immigration document by entering all the fields and saving it successfully.</t>
  </si>
  <si>
    <t>TC-052</t>
  </si>
  <si>
    <t>Immigration Document Multiple Entries Add</t>
  </si>
  <si>
    <t>The system allows adding multiple immigration document entries.</t>
  </si>
  <si>
    <t>TC-053</t>
  </si>
  <si>
    <t>Immigration Document Edit Entry</t>
  </si>
  <si>
    <t>The user can edit an existing immigration document and save the updated details.</t>
  </si>
  <si>
    <t>TC-054</t>
  </si>
  <si>
    <t>Immigration Document Single Entry Delete</t>
  </si>
  <si>
    <t>The user can delete a single immigration document by selecting its checkbox and clicking Delete.</t>
  </si>
  <si>
    <t>TC-055</t>
  </si>
  <si>
    <t>Immigration Document Multiple Entries Delete</t>
  </si>
  <si>
    <t>The user can delete multiple immigration documents by selecting multiple checkboxes and clicking Delete.</t>
  </si>
  <si>
    <t>TC-056</t>
  </si>
  <si>
    <t>Immigration Document Attachment Upload</t>
  </si>
  <si>
    <t>The user can upload an attachment in the Immigration screen using the Add and Upload options.</t>
  </si>
  <si>
    <t>TC-057</t>
  </si>
  <si>
    <t>Immigration Document Attachment Format Validation</t>
  </si>
  <si>
    <t>The system accepts only appropriate attachment formats (e.g., PDF, JPG, PNG).</t>
  </si>
  <si>
    <t>TC-058</t>
  </si>
  <si>
    <t>Immigration Document Attachment Size Limit Validation</t>
  </si>
  <si>
    <t>TC-059</t>
  </si>
  <si>
    <t>Immigration Document Required Field Validation</t>
  </si>
  <si>
    <t>Required fields (Document Type, Number) cannot be left blank when saving.</t>
  </si>
  <si>
    <t>TC-060</t>
  </si>
  <si>
    <t>Immigration Document Save Button Functionality</t>
  </si>
  <si>
    <t>The Save button is clickable and saves the immigration entries correctly.</t>
  </si>
  <si>
    <t>TC-061</t>
  </si>
  <si>
    <t>Immigration Document Cancel Button Functionality</t>
  </si>
  <si>
    <t>TC-062</t>
  </si>
  <si>
    <t>Immigration Document Issue Date Validation</t>
  </si>
  <si>
    <t>The issue date is before the current date.</t>
  </si>
  <si>
    <t>TC-063</t>
  </si>
  <si>
    <t>TS_08 – Job / Salary / Report To Access Restriction</t>
  </si>
  <si>
    <t>Job Screen Display</t>
  </si>
  <si>
    <t>User is logged in and has navigated to My Info &gt; Job Details.</t>
  </si>
  <si>
    <t>Clicking the Job option in the Personal column opens the Job screen.</t>
  </si>
  <si>
    <t>TC-064</t>
  </si>
  <si>
    <t>Job Details Fields Edit Restriction</t>
  </si>
  <si>
    <t>The system prevents the user from editing any fields in the Job Details screen.</t>
  </si>
  <si>
    <t>TC-065</t>
  </si>
  <si>
    <t>Salary Information Visibility Restriction</t>
  </si>
  <si>
    <t>The salary information is hidden and cannot be displayed when accessed by a User.</t>
  </si>
  <si>
    <t>TC-066</t>
  </si>
  <si>
    <t>Salary Details Fields Edit Restriction</t>
  </si>
  <si>
    <t>All salary details fields are restricted from editing by the User.</t>
  </si>
  <si>
    <t>TC-067</t>
  </si>
  <si>
    <t>Report To Section Edit Restriction And View Access</t>
  </si>
  <si>
    <t>The User cannot edit any fields in the Report To section and can only view the list of assigned supervisors or subordinates.</t>
  </si>
  <si>
    <t>Job Company Name Field Invalid Input Validation</t>
  </si>
  <si>
    <t>The system does not accept invalid inputs in the Company Name field.</t>
  </si>
  <si>
    <t>TC-069</t>
  </si>
  <si>
    <t>Job Title Field Invalid Input Validation</t>
  </si>
  <si>
    <t>The system does not accept invalid inputs in the Job Title field.</t>
  </si>
  <si>
    <t>TC-070</t>
  </si>
  <si>
    <t>TS_09 – Work Experience Records Management</t>
  </si>
  <si>
    <t>Work Experience Future Date Validation</t>
  </si>
  <si>
    <t>User is logged in and has navigated to My Info &gt; Work Experience.</t>
  </si>
  <si>
    <t>The Work Experience From/To date fields do not accept dates later than today (future dates).</t>
  </si>
  <si>
    <t>TC-071</t>
  </si>
  <si>
    <t>Work Experience To Date Before From Date Validation</t>
  </si>
  <si>
    <t>The Work Experience To date cannot be earlier than the From date.</t>
  </si>
  <si>
    <t>TC-072</t>
  </si>
  <si>
    <t>Work Experience Required Field Validation</t>
  </si>
  <si>
    <t>The system does not allow the user to save when required fields are blank.</t>
  </si>
  <si>
    <t>TC-073</t>
  </si>
  <si>
    <t>Work Experience Add Entry Screen Display</t>
  </si>
  <si>
    <t>The user can click Add to open the Work Experience entry screen.</t>
  </si>
  <si>
    <t>TC-074</t>
  </si>
  <si>
    <t>Work Experience Add Valid Entry</t>
  </si>
  <si>
    <t>The user can successfully add a work experience entry.</t>
  </si>
  <si>
    <t>TC-075</t>
  </si>
  <si>
    <t>Work Experience Multiple Entries Add</t>
  </si>
  <si>
    <t>The user can add multiple work experience entries sequentially.</t>
  </si>
  <si>
    <t>TC-076</t>
  </si>
  <si>
    <t>Work Experience Edit Entry</t>
  </si>
  <si>
    <t>Editing an existing work experience entry updates the correct entry when Save is clicked.</t>
  </si>
  <si>
    <t>TC-077</t>
  </si>
  <si>
    <t>Work Experience Edit Entry Isolation</t>
  </si>
  <si>
    <t>1. Ensure at least two existing entries are saved.
2. Edit one entry and change its values, then click Save.
3. Verify the other entries remain unchanged.</t>
  </si>
  <si>
    <t>Editing one entry does not affect other existing entries.</t>
  </si>
  <si>
    <t>TC-078</t>
  </si>
  <si>
    <t>Work Experience Single Entry Delete</t>
  </si>
  <si>
    <t>A user can delete a single work experience entry.</t>
  </si>
  <si>
    <t>TC-079</t>
  </si>
  <si>
    <t>Work Experience Multiple Entries Delete</t>
  </si>
  <si>
    <t>A user can delete multiple work experience entries at once.</t>
  </si>
  <si>
    <t>TC-080</t>
  </si>
  <si>
    <t>Work Experience Save Button Functionality</t>
  </si>
  <si>
    <t>Save button clickability and functionality.</t>
  </si>
  <si>
    <t>TC-081</t>
  </si>
  <si>
    <t>Work Experience Cancel Button Functionality</t>
  </si>
  <si>
    <t>Cancel button clickability and functionality.</t>
  </si>
  <si>
    <t>TC-082</t>
  </si>
  <si>
    <t>TS_10 – Education Records Management</t>
  </si>
  <si>
    <t>Education Add Entry Screen Display</t>
  </si>
  <si>
    <t>User is logged in and has navigated to My Info &gt; Education.</t>
  </si>
  <si>
    <t>The user can click Add to open the Education entry screen.</t>
  </si>
  <si>
    <t>TC-083</t>
  </si>
  <si>
    <t>Education Add Valid Entry</t>
  </si>
  <si>
    <t>The user can successfully add an education entry.</t>
  </si>
  <si>
    <t>TC-084</t>
  </si>
  <si>
    <t>Education Multiple Entries Add</t>
  </si>
  <si>
    <t>The user can add multiple Education entries sequentially.</t>
  </si>
  <si>
    <t>TC-085</t>
  </si>
  <si>
    <t>Education Edit Entry</t>
  </si>
  <si>
    <t>Editing an existing Education entry updates the correct entry when Save is clicked.</t>
  </si>
  <si>
    <t>TC-086</t>
  </si>
  <si>
    <t>Education Edit Entry Isolation</t>
  </si>
  <si>
    <t>TC-087</t>
  </si>
  <si>
    <t>Education Single Entry Delete</t>
  </si>
  <si>
    <t>A user can delete a single Education entry.</t>
  </si>
  <si>
    <t>TC-088</t>
  </si>
  <si>
    <t>Education Multiple Entries Delete</t>
  </si>
  <si>
    <t>A user can delete multiple Education entries at once.</t>
  </si>
  <si>
    <t>TC-089</t>
  </si>
  <si>
    <t>Education Save Button Functionality</t>
  </si>
  <si>
    <t>TC-090</t>
  </si>
  <si>
    <t>Education Cancel Button Functionality</t>
  </si>
  <si>
    <t>TC-091</t>
  </si>
  <si>
    <t>Education Required Field Validation</t>
  </si>
  <si>
    <t>TC-092</t>
  </si>
  <si>
    <t>Education Major Specialization Field Invalid Input Validation</t>
  </si>
  <si>
    <t>The system does not accept invalid inputs in the Major/Specialization field.</t>
  </si>
  <si>
    <t>TC-093</t>
  </si>
  <si>
    <t>Education Institution Field Invalid Input Validation</t>
  </si>
  <si>
    <t>The system does not accept invalid inputs in the Institution field.</t>
  </si>
  <si>
    <t>TC-094</t>
  </si>
  <si>
    <t>Education Year Field Invalid Input Validation</t>
  </si>
  <si>
    <t>The system does not accept invalid inputs (alphabetical, special characters) in the Year field.</t>
  </si>
  <si>
    <t>TC-095</t>
  </si>
  <si>
    <t>Education Year Field Format Validation</t>
  </si>
  <si>
    <t>The Year field accepts only a valid year format.</t>
  </si>
  <si>
    <t>TC-096</t>
  </si>
  <si>
    <t>Education GPA Score Field Invalid Input Validation</t>
  </si>
  <si>
    <t>The system does not accept invalid inputs in the GPA/Score field.</t>
  </si>
  <si>
    <t>TC-097</t>
  </si>
  <si>
    <t>Education Future Date Validation</t>
  </si>
  <si>
    <t>Start/End date fields do not accept dates later than today (future dates).</t>
  </si>
  <si>
    <t>TC-098</t>
  </si>
  <si>
    <t>Education End Date Before Start Date Validation</t>
  </si>
  <si>
    <t>The Education End date cannot be earlier than the Start date.</t>
  </si>
  <si>
    <t>TC-099</t>
  </si>
  <si>
    <t>TS_11 – Skills Records Management</t>
  </si>
  <si>
    <t>Skills Add Entry Screen Display</t>
  </si>
  <si>
    <t>User is logged in and has navigated to My Info &gt; Skills.</t>
  </si>
  <si>
    <t>The user can click Add to open the Skills entry screen.</t>
  </si>
  <si>
    <t>TC-100</t>
  </si>
  <si>
    <t>Skills Dropdown Options Validation</t>
  </si>
  <si>
    <t>The skills dropdown option is working and many choices are available to choose from.</t>
  </si>
  <si>
    <t>TC-101</t>
  </si>
  <si>
    <t>Skills Years Of Experience Field Invalid Input Validation</t>
  </si>
  <si>
    <t>The system does not accept invalid inputs in the Years of Experience field.</t>
  </si>
  <si>
    <t>TC-102</t>
  </si>
  <si>
    <t>Skills Duplicate Selection Prevention</t>
  </si>
  <si>
    <t>The system prevents duplication by rejecting the selection of the same skill more than once.</t>
  </si>
  <si>
    <t>TC-103</t>
  </si>
  <si>
    <t>Skills Add Valid Entry</t>
  </si>
  <si>
    <t>The user can successfully add a Skill entry.</t>
  </si>
  <si>
    <t>TC-104</t>
  </si>
  <si>
    <t>Skills Multiple Entries Add</t>
  </si>
  <si>
    <t>The user can add multiple skill entries sequentially.</t>
  </si>
  <si>
    <t>TC-105</t>
  </si>
  <si>
    <t>Skills Edit Entry</t>
  </si>
  <si>
    <t>Editing an existing skill entry updates the correct entry when Save is clicked.</t>
  </si>
  <si>
    <t>TC-106</t>
  </si>
  <si>
    <t>Skills Edit Entry Isolation</t>
  </si>
  <si>
    <t>TC-107</t>
  </si>
  <si>
    <t>Skills Single Entry Delete</t>
  </si>
  <si>
    <t>A user can delete a single skill entry.</t>
  </si>
  <si>
    <t>TC-108</t>
  </si>
  <si>
    <t>Skills Multiple Entries Delete</t>
  </si>
  <si>
    <t>A user can delete multiple skill entries at once.</t>
  </si>
  <si>
    <t>TC-109</t>
  </si>
  <si>
    <t>Skills Save Button Functionality</t>
  </si>
  <si>
    <t>TC-110</t>
  </si>
  <si>
    <t>Skills Cancel Button Functionality</t>
  </si>
  <si>
    <t>TC-111</t>
  </si>
  <si>
    <t>TS_12 – Language Competency Records Management</t>
  </si>
  <si>
    <t>Language Add Entry Screen Display</t>
  </si>
  <si>
    <t>User is logged in and has navigated to My Info &gt; Language.</t>
  </si>
  <si>
    <t>The user can click Add to open the Language entry screen.</t>
  </si>
  <si>
    <t>TC-112</t>
  </si>
  <si>
    <t>Language Add Valid Entry</t>
  </si>
  <si>
    <t>The user can successfully add a language entry.</t>
  </si>
  <si>
    <t>TC-113</t>
  </si>
  <si>
    <t>Language Multiple Entries Add</t>
  </si>
  <si>
    <t>The user can add multiple Language entries sequentially.</t>
  </si>
  <si>
    <t>TC-114</t>
  </si>
  <si>
    <t>Language Edit Entry</t>
  </si>
  <si>
    <t>Editing an existing language entry updates the correct entry when Save is clicked.</t>
  </si>
  <si>
    <t>TC-115</t>
  </si>
  <si>
    <t>Language Single Entry Delete</t>
  </si>
  <si>
    <t>A user can delete a single language entry.</t>
  </si>
  <si>
    <t>TC-116</t>
  </si>
  <si>
    <t>Language Multiple Entries Delete</t>
  </si>
  <si>
    <t>A user can delete multiple language entries at once.</t>
  </si>
  <si>
    <t>TC-117</t>
  </si>
  <si>
    <t>Language Save Button Functionality</t>
  </si>
  <si>
    <t>TC-118</t>
  </si>
  <si>
    <t>Language Cancel Button Functionality</t>
  </si>
  <si>
    <t>TC-119</t>
  </si>
  <si>
    <t>Language Required Field Validation</t>
  </si>
  <si>
    <t>TC-120</t>
  </si>
  <si>
    <t>TS_13 – License Records Management</t>
  </si>
  <si>
    <t>License Add Entry Screen Display</t>
  </si>
  <si>
    <t>User is logged in and has navigated to My Info &gt; License.</t>
  </si>
  <si>
    <t>The user can click Add to open the License entry screen.</t>
  </si>
  <si>
    <t>TC-121</t>
  </si>
  <si>
    <t>License Add Valid Entry</t>
  </si>
  <si>
    <t>The user can successfully add a License entry.</t>
  </si>
  <si>
    <t>TC-122</t>
  </si>
  <si>
    <t>License Multiple Entries Add</t>
  </si>
  <si>
    <t>The user can add multiple License entries sequentially.</t>
  </si>
  <si>
    <t>TC-123</t>
  </si>
  <si>
    <t>License Edit Entry</t>
  </si>
  <si>
    <t>Editing an existing License entry updates the correct entry when Save is clicked.</t>
  </si>
  <si>
    <t>TC-124</t>
  </si>
  <si>
    <t>License Single Entry Delete</t>
  </si>
  <si>
    <t>A user can delete a single License entry.</t>
  </si>
  <si>
    <t>TC-125</t>
  </si>
  <si>
    <t>License Multiple Entries Delete</t>
  </si>
  <si>
    <t>A user can delete multiple License entries at once.</t>
  </si>
  <si>
    <t>TC-126</t>
  </si>
  <si>
    <t>License Number Field Invalid Input Validation</t>
  </si>
  <si>
    <t>The License Number field does not accept invalid inputs (alphabetical and special characters).</t>
  </si>
  <si>
    <t>TC-127</t>
  </si>
  <si>
    <t>License Required Field Validation</t>
  </si>
  <si>
    <t>TC-128</t>
  </si>
  <si>
    <t>License Issue Expiry Date Future Date Validation</t>
  </si>
  <si>
    <t>Issue/Expiry date fields do not accept dates later than today (future dates).</t>
  </si>
  <si>
    <t>TC-129</t>
  </si>
  <si>
    <t>License Save Button Functionality</t>
  </si>
  <si>
    <t>TC-130</t>
  </si>
  <si>
    <t>License Cancel Button Functionality</t>
  </si>
  <si>
    <t>TC-131</t>
  </si>
  <si>
    <t>TS_14 – Qualification Attachments Management</t>
  </si>
  <si>
    <t>Qualification Attachment Upload</t>
  </si>
  <si>
    <t>User is logged in and has navigated to My Info &gt; Qualifications Attachments.</t>
  </si>
  <si>
    <t>The user can upload an attachment in the Qualification screen using the Add and Upload options.</t>
  </si>
  <si>
    <t>TC-132</t>
  </si>
  <si>
    <t>Qualification Attachment Format Validation</t>
  </si>
  <si>
    <t>TC-133</t>
  </si>
  <si>
    <t>Qualification Attachment Size Limit Validation</t>
  </si>
  <si>
    <t>TC-134</t>
  </si>
  <si>
    <t>Qualification Multiple Attachments Add</t>
  </si>
  <si>
    <t>The user can add multiple attachments in the Qualification screen.</t>
  </si>
  <si>
    <t>TC-135</t>
  </si>
  <si>
    <t>Qualification Multiple Attachments Delete</t>
  </si>
  <si>
    <t>The user can delete multiple attachments in the Qualification screen.</t>
  </si>
  <si>
    <t>TC-136</t>
  </si>
  <si>
    <t>Qualification Attachment Edit</t>
  </si>
  <si>
    <t>The user can edit an existing attachment in the Qualification screen.</t>
  </si>
  <si>
    <t>TC-137</t>
  </si>
  <si>
    <t>TS_15 – Membership Records Management</t>
  </si>
  <si>
    <t>Membership Add Entry Screen Display</t>
  </si>
  <si>
    <t>User is logged in and has navigated to My Info &gt; Membership.</t>
  </si>
  <si>
    <t>The user can click Add to open the Membership records screen.</t>
  </si>
  <si>
    <t>TC-138</t>
  </si>
  <si>
    <t>Membership Add Valid Entry</t>
  </si>
  <si>
    <t>The user can successfully add a membership entry.</t>
  </si>
  <si>
    <t>TC-139</t>
  </si>
  <si>
    <t>Membership Multiple Entries Add</t>
  </si>
  <si>
    <t>The user can add multiple membership entries sequentially.</t>
  </si>
  <si>
    <t>TC-140</t>
  </si>
  <si>
    <t>Membership Edit Entry</t>
  </si>
  <si>
    <t>Editing a membership entry updates the correct entry when Save is clicked.</t>
  </si>
  <si>
    <t>TC-141</t>
  </si>
  <si>
    <t>Membership Single Entry Delete</t>
  </si>
  <si>
    <t>A user can delete a single membership entry.</t>
  </si>
  <si>
    <t>TC-142</t>
  </si>
  <si>
    <t>Membership Multiple Entries Delete</t>
  </si>
  <si>
    <t>A user can delete multiple membership entries at once.</t>
  </si>
  <si>
    <t>TC-143</t>
  </si>
  <si>
    <t>Membership Save Button Functionality</t>
  </si>
  <si>
    <t>TC-144</t>
  </si>
  <si>
    <t>Membership Cancel Button Functionality</t>
  </si>
  <si>
    <t>TC-145</t>
  </si>
  <si>
    <t>Membership Attachment Upload</t>
  </si>
  <si>
    <t>The user can upload an attachment in the Membership screen using the Add and Upload options.</t>
  </si>
  <si>
    <t>TC-146</t>
  </si>
  <si>
    <t>Membership Attachment Format Validation</t>
  </si>
  <si>
    <t>TC-147</t>
  </si>
  <si>
    <t>Membership Multiple Attachments Add</t>
  </si>
  <si>
    <t>The user can add multiple attachments in the Membership screen.</t>
  </si>
  <si>
    <t>TC-148</t>
  </si>
  <si>
    <t>Membership Multiple Attachments Delete</t>
  </si>
  <si>
    <t>The user can delete multiple attachments in the Membership screen.</t>
  </si>
  <si>
    <t>TC-149</t>
  </si>
  <si>
    <t>Membership Subscription Amount Invalid Input Validation</t>
  </si>
  <si>
    <t>The system rejects invalid inputs in the Subscription Amount field (alphabetical or special characters).</t>
  </si>
  <si>
    <t>TC-150</t>
  </si>
  <si>
    <t>TS_16 – Admin User Accounts And Roles Management</t>
  </si>
  <si>
    <t>Add User Account</t>
  </si>
  <si>
    <t>Admin user is logged in and has navigated to Admin &gt; User Management &gt; Users.</t>
  </si>
  <si>
    <t>The Admin can add a new user account with valid details (Employee Name, Username, Password, User Role, Status).</t>
  </si>
  <si>
    <t>TC-151</t>
  </si>
  <si>
    <t>Edit User Account</t>
  </si>
  <si>
    <t>The Admin can edit an existing user account's details.</t>
  </si>
  <si>
    <t>TC-152</t>
  </si>
  <si>
    <t>Delete User Account</t>
  </si>
  <si>
    <t>The Admin can delete a user account.</t>
  </si>
  <si>
    <t>TC-153</t>
  </si>
  <si>
    <t>Assign User Role And Access Level</t>
  </si>
  <si>
    <t>The Admin can assign a user role and access level (Admin/ESS) when creating or editing a user.</t>
  </si>
  <si>
    <t>TC-154</t>
  </si>
  <si>
    <t>Enable Disable User Account</t>
  </si>
  <si>
    <t>The Admin can enable or disable a user account and that a disabled user cannot log in.</t>
  </si>
  <si>
    <t>TC-155</t>
  </si>
  <si>
    <t>TS_17 – Admin Job Titles And Pay Grades Management</t>
  </si>
  <si>
    <t>Add Job Title</t>
  </si>
  <si>
    <t>Admin user is logged in and has navigated to Admin &gt; Job &gt; Job Titles / Pay Grades.</t>
  </si>
  <si>
    <t>The Admin can add a new job title with a title name and description.</t>
  </si>
  <si>
    <t>TC-156</t>
  </si>
  <si>
    <t>Edit Job Title</t>
  </si>
  <si>
    <t>The Admin can edit an existing job title.</t>
  </si>
  <si>
    <t>TC-157</t>
  </si>
  <si>
    <t>Delete Job Title</t>
  </si>
  <si>
    <t>The Admin can delete a job title.</t>
  </si>
  <si>
    <t>TC-158</t>
  </si>
  <si>
    <t>Add Pay Grade With Salary Range</t>
  </si>
  <si>
    <t>The Admin can add a new pay grade by setting a minimum/maximum salary range and currency.</t>
  </si>
  <si>
    <t>TC-159</t>
  </si>
  <si>
    <t>Add Pay Grade Step Increase</t>
  </si>
  <si>
    <t>The Admin can add a step increase amount to an existing pay grade.</t>
  </si>
  <si>
    <t>TC-160</t>
  </si>
  <si>
    <t>TS_18 – Admin Employment Status Management</t>
  </si>
  <si>
    <t>Add Employment Status</t>
  </si>
  <si>
    <t>Admin user is logged in and has navigated to Admin &gt; Job &gt; Employment Status.</t>
  </si>
  <si>
    <t>The Admin can add a new employment status.</t>
  </si>
  <si>
    <t>TC-161</t>
  </si>
  <si>
    <t>Edit Employment Status</t>
  </si>
  <si>
    <t>The Admin can edit an existing employment status.</t>
  </si>
  <si>
    <t>TC-162</t>
  </si>
  <si>
    <t>Delete Employment Status</t>
  </si>
  <si>
    <t>The Admin can delete an employment status.</t>
  </si>
  <si>
    <t>TC-163</t>
  </si>
  <si>
    <t>TS_19 – Admin Job Categories Management</t>
  </si>
  <si>
    <t>Add Job Category</t>
  </si>
  <si>
    <t>Admin user is logged in and has navigated to Admin &gt; Job &gt; Job Categories.</t>
  </si>
  <si>
    <t>The Admin can add a new job category.</t>
  </si>
  <si>
    <t>TC-164</t>
  </si>
  <si>
    <t>Edit Job Category</t>
  </si>
  <si>
    <t>The Admin can edit an existing job category.</t>
  </si>
  <si>
    <t>TC-165</t>
  </si>
  <si>
    <t>Delete Job Category</t>
  </si>
  <si>
    <t>The Admin can delete a job category.</t>
  </si>
  <si>
    <t>TC-166</t>
  </si>
  <si>
    <t>TS_20 – Admin Work Shifts Management</t>
  </si>
  <si>
    <t>Add Work Shift</t>
  </si>
  <si>
    <t>Admin user is logged in and has navigated to Admin &gt; Time &gt; Work Shifts.</t>
  </si>
  <si>
    <t>The Admin can add a new work shift with a name, start time, and end time.</t>
  </si>
  <si>
    <t>TC-167</t>
  </si>
  <si>
    <t>Edit Work Shift</t>
  </si>
  <si>
    <t>The Admin can edit an existing work shift.</t>
  </si>
  <si>
    <t>TC-168</t>
  </si>
  <si>
    <t>Delete Work Shift</t>
  </si>
  <si>
    <t>The Admin can delete a work shift.</t>
  </si>
  <si>
    <t>TC-169</t>
  </si>
  <si>
    <t>TS_21 – Admin Company General Information Management</t>
  </si>
  <si>
    <t>Edit General Company Information</t>
  </si>
  <si>
    <t>Admin user is logged in and has navigated to Admin &gt; Organization &gt; General Information.</t>
  </si>
  <si>
    <t>The Admin can edit the company's general information (Name, Tax ID, Registration Number).</t>
  </si>
  <si>
    <t>TC-170</t>
  </si>
  <si>
    <t>Company Information Invalid Input Validation</t>
  </si>
  <si>
    <t>The system rejects invalid inputs when editing the company's general information.</t>
  </si>
  <si>
    <t>TC-171</t>
  </si>
  <si>
    <t>TS_22 – Admin Company Sites And Branches Management</t>
  </si>
  <si>
    <t>Add Company Location</t>
  </si>
  <si>
    <t>Admin user is logged in and has navigated to Admin &gt; Organization &gt; Locations.</t>
  </si>
  <si>
    <t>The Admin can add a new company location/branch with name and address.</t>
  </si>
  <si>
    <t>TC-172</t>
  </si>
  <si>
    <t>Edit Company Location</t>
  </si>
  <si>
    <t>The Admin can edit an existing company location.</t>
  </si>
  <si>
    <t>TC-173</t>
  </si>
  <si>
    <t>Delete Company Location</t>
  </si>
  <si>
    <t>The Admin can delete a company location.</t>
  </si>
  <si>
    <t>TC-174</t>
  </si>
  <si>
    <t>Search Company Location</t>
  </si>
  <si>
    <t>The Admin can search for a specific location by name.</t>
  </si>
  <si>
    <t>TC-175</t>
  </si>
  <si>
    <t>TS_23 – Admin Organization Structure Management</t>
  </si>
  <si>
    <t>Add Organization Unit</t>
  </si>
  <si>
    <t>Admin user is logged in and has navigated to Admin &gt; Organization &gt; Organization Structure.</t>
  </si>
  <si>
    <t>The Admin can add a new organization unit or sub-unit.</t>
  </si>
  <si>
    <t>TC-176</t>
  </si>
  <si>
    <t>Edit Organization Unit</t>
  </si>
  <si>
    <t>The Admin can edit an existing organization unit.</t>
  </si>
  <si>
    <t>TC-177</t>
  </si>
  <si>
    <t>Delete Organization Unit</t>
  </si>
  <si>
    <t>The Admin can delete an organization unit.</t>
  </si>
  <si>
    <t>TC-178</t>
  </si>
  <si>
    <t>TS_24 – Admin Employee Qualifications Definitions Management</t>
  </si>
  <si>
    <t>Manage Skill Definitions</t>
  </si>
  <si>
    <t>Admin user is logged in and has navigated to Admin &gt; Qualifications.</t>
  </si>
  <si>
    <t>The Admin can add, edit, and delete Skill definitions available to all employees.</t>
  </si>
  <si>
    <t>TC-179</t>
  </si>
  <si>
    <t>Manage Education Definitions</t>
  </si>
  <si>
    <t>The Admin can add, edit, and delete Education definitions available to all employees.</t>
  </si>
  <si>
    <t>TC-180</t>
  </si>
  <si>
    <t>Manage License Definitions</t>
  </si>
  <si>
    <t>The Admin can add, edit, and delete License definitions available to all employees.</t>
  </si>
  <si>
    <t>TC-181</t>
  </si>
  <si>
    <t>Manage Language Definitions</t>
  </si>
  <si>
    <t>The Admin can add, edit, and delete Language definitions available to all employees.</t>
  </si>
  <si>
    <t>TC-182</t>
  </si>
  <si>
    <t>Manage Membership Definitions</t>
  </si>
  <si>
    <t>The Admin can add, edit, and delete Membership definitions available to all employees.</t>
  </si>
  <si>
    <t>TC-183</t>
  </si>
  <si>
    <t>TS_25 – Valid User Credentials Authentication</t>
  </si>
  <si>
    <t>Valid Login With Correct Credentials</t>
  </si>
  <si>
    <t>User is on the OrangeHRM Login page (opensource-demo.orangehrmlive.com).</t>
  </si>
  <si>
    <t>The user can log in successfully using a valid Username and Password.</t>
  </si>
  <si>
    <t>TC-184</t>
  </si>
  <si>
    <t>Redirect To Dashboard After Login</t>
  </si>
  <si>
    <t>The system redirects the user to the Dashboard screen upon successful login.</t>
  </si>
  <si>
    <t>TC-185</t>
  </si>
  <si>
    <t>Password Field Masking</t>
  </si>
  <si>
    <t>The Password field masks the entered characters.</t>
  </si>
  <si>
    <t>TC-186</t>
  </si>
  <si>
    <t>Login Rejected With Empty Password</t>
  </si>
  <si>
    <t>The system does not accept login with a valid Username and an empty Password.</t>
  </si>
  <si>
    <t>TC-187</t>
  </si>
  <si>
    <t>Login Rejected With Empty Username</t>
  </si>
  <si>
    <t>The system does not accept login with an empty Username and a valid Password.</t>
  </si>
  <si>
    <t>TC-188</t>
  </si>
  <si>
    <t>Forgot Password Link Functionality</t>
  </si>
  <si>
    <t>The Forgot Password link is clickable and redirects to the password reset screen.</t>
  </si>
  <si>
    <t>TC-189</t>
  </si>
  <si>
    <t>Session Persistence After Login</t>
  </si>
  <si>
    <t>The user session remains active after a successful login until logout or timeout.</t>
  </si>
  <si>
    <t>TC-190</t>
  </si>
  <si>
    <t>Login Button Functionality</t>
  </si>
  <si>
    <t>The Login button is clickable and functions correctly.</t>
  </si>
  <si>
    <t>TC-191</t>
  </si>
  <si>
    <t>TS_26 – Invalid Credentials Error Handling</t>
  </si>
  <si>
    <t>Login Error With Wrong Password</t>
  </si>
  <si>
    <t>The system displays an appropriate error message when entering a valid Username with an incorrect Password.</t>
  </si>
  <si>
    <t>TC-192</t>
  </si>
  <si>
    <t>Login Error With Invalid Username</t>
  </si>
  <si>
    <t>The system displays an appropriate error message when entering an invalid Username with any Password.</t>
  </si>
  <si>
    <t>TC-193</t>
  </si>
  <si>
    <t>Login Error With Empty Credentials</t>
  </si>
  <si>
    <t>The system displays an appropriate error message when both Username and Password fields are left empty.</t>
  </si>
  <si>
    <t>TC-194</t>
  </si>
  <si>
    <t>Generic Login Error Message</t>
  </si>
  <si>
    <t>A non-Admin (ESS) user account exists and is logged into the system.</t>
  </si>
  <si>
    <t>The system does not reveal whether the Username or Password is the incorrect field in the error message.</t>
  </si>
  <si>
    <t>TC-195</t>
  </si>
  <si>
    <t>Username Field Injection Prevention</t>
  </si>
  <si>
    <t>The Username field does not accept SQL injection or script input as a valid login attempt.</t>
  </si>
  <si>
    <t>TC-196</t>
  </si>
  <si>
    <t>Account Lockout After Failed Attempts</t>
  </si>
  <si>
    <t>The system locks or restricts the account after multiple consecutive failed login attempts.</t>
  </si>
  <si>
    <t>TC-197</t>
  </si>
  <si>
    <t>Login Error Message Clears On Valid Retry</t>
  </si>
  <si>
    <t>The error message disappears once the user enters valid credentials and resubmits.</t>
  </si>
  <si>
    <t>TC-198</t>
  </si>
  <si>
    <t>TS_27 – Administrator Full System Access</t>
  </si>
  <si>
    <t>Admin Login And Menu Access</t>
  </si>
  <si>
    <t>Admin user account exists in the system.</t>
  </si>
  <si>
    <t>The Admin user can log in and access the Admin Module menu.</t>
  </si>
  <si>
    <t>TC-199</t>
  </si>
  <si>
    <t>Admin Sub Menus Access</t>
  </si>
  <si>
    <t>The Admin can view and access all sub-menus under Admin (User Management, Job, Organization, Qualifications).</t>
  </si>
  <si>
    <t>TC-200</t>
  </si>
  <si>
    <t>Admin Full Modules Access</t>
  </si>
  <si>
    <t>The Admin can access all modules available in the system (PIM, Admin, Leave, Time, Performance, Recruitment, etc.).</t>
  </si>
  <si>
    <t>TC-201</t>
  </si>
  <si>
    <t>Admin Full CRUD Access</t>
  </si>
  <si>
    <t>The Admin can view, add, edit, and delete records across modules without restriction.</t>
  </si>
  <si>
    <t>TC-202</t>
  </si>
  <si>
    <t>Admin Role Display Validation</t>
  </si>
  <si>
    <t>The Admin's access level is correctly reflected under User Management (User Role = Admin).</t>
  </si>
  <si>
    <t>TC-203</t>
  </si>
  <si>
    <t>TS_28 – User Personal Data Access Control</t>
  </si>
  <si>
    <t>User Redirect To Own Personal Details</t>
  </si>
  <si>
    <t>A regular (non-Admin) user can log in and is redirected to their own Personal Details screen only.</t>
  </si>
  <si>
    <t>TC-204</t>
  </si>
  <si>
    <t>User Admin Menu Access Restriction</t>
  </si>
  <si>
    <t>The regular user cannot access the Admin Module menu.</t>
  </si>
  <si>
    <t>TC-205</t>
  </si>
  <si>
    <t>User Own Record Access Restriction</t>
  </si>
  <si>
    <t>The regular user can only view/edit their own employee record and not other employees' records.</t>
  </si>
  <si>
    <t>TC-206</t>
  </si>
  <si>
    <t>URL Manipulation Access Prevention</t>
  </si>
  <si>
    <t>Attempting to access another employee's profile via direct URL manipulation is denied or redirected.</t>
  </si>
  <si>
    <t>TC-207</t>
  </si>
  <si>
    <t>User Menu Role Based Restriction</t>
  </si>
  <si>
    <t>The regular user's menu only displays modules/options permitted for their role.</t>
  </si>
  <si>
    <t>TC-208</t>
  </si>
  <si>
    <t>TS_29 – Sensitive Field Edit Restrictions</t>
  </si>
  <si>
    <t>Employee ID Edit Restriction Global</t>
  </si>
  <si>
    <t>The regular user cannot edit the Employee ID field regardless of the screen accessed.</t>
  </si>
  <si>
    <t>TC-209</t>
  </si>
  <si>
    <t>Salary Pay Grade Edit Restriction</t>
  </si>
  <si>
    <t>The regular user cannot edit the Salary/Pay Grade fields.</t>
  </si>
  <si>
    <t>TC-210</t>
  </si>
  <si>
    <t>Job Fields Edit Restriction</t>
  </si>
  <si>
    <t>The regular user cannot edit the Job Title, Job Category, or Sub Unit fields in Job Details.</t>
  </si>
  <si>
    <t>TC-211</t>
  </si>
  <si>
    <t>Report To Assignment Edit Restriction</t>
  </si>
  <si>
    <t>The regular user cannot edit the Report To (Supervisor/Subordinate) assignments.</t>
  </si>
  <si>
    <t>TC-212</t>
  </si>
  <si>
    <t>Restricted Field Bypass Prevention</t>
  </si>
  <si>
    <t>Attempting to bypass restricted field edits via browser inspection or a direct API request is rejected by the system.</t>
  </si>
  <si>
    <t>TC-213</t>
  </si>
  <si>
    <t>Defects Status — OrangeHRM</t>
  </si>
  <si>
    <t>Critical Defects</t>
  </si>
  <si>
    <t>High Defects</t>
  </si>
  <si>
    <t>Medium Defects</t>
  </si>
  <si>
    <t>Low Defects</t>
  </si>
  <si>
    <t>Total Defects</t>
  </si>
  <si>
    <t>Bug ID</t>
  </si>
  <si>
    <t>Bug Title</t>
  </si>
  <si>
    <t>Description</t>
  </si>
  <si>
    <t>Status</t>
  </si>
  <si>
    <t>Defect Severity</t>
  </si>
  <si>
    <t>Found Date</t>
  </si>
  <si>
    <t>Found By</t>
  </si>
  <si>
    <t>Comments</t>
  </si>
  <si>
    <t>Hot Fix?</t>
  </si>
  <si>
    <t>QA Priority &amp; Severity Reference — OrangeHRM (My Info / Admin / Authentication &amp; Security)</t>
  </si>
  <si>
    <t>TEST CASE PRIORITY</t>
  </si>
  <si>
    <t>Meaning</t>
  </si>
  <si>
    <t>When to Use</t>
  </si>
  <si>
    <t>Example (OrangeHRM)</t>
  </si>
  <si>
    <t>Fix Timeline</t>
  </si>
  <si>
    <t>Must be tested first — blocks entire release</t>
  </si>
  <si>
    <t>Core flows: login, role-based access, field restrictions</t>
  </si>
  <si>
    <t>TC-184 Valid Login With Correct Credentials, TC-013 Employee ID Field Edit Restriction, TC-199 Admin Login And Menu Access</t>
  </si>
  <si>
    <t>Block release if failed</t>
  </si>
  <si>
    <t>Very important — must work for good UX</t>
  </si>
  <si>
    <t>Core My Info / Admin CRUD operations users rely on daily</t>
  </si>
  <si>
    <t>TC-025 Emergency Contact Add Valid Entry, TC-151 Add User Account, TC-083 Education Add Entry Screen Display</t>
  </si>
  <si>
    <t>Fix before release</t>
  </si>
  <si>
    <t>Important but has workarounds</t>
  </si>
  <si>
    <t>Field validation, attachments, delete operations, edge cases</t>
  </si>
  <si>
    <t>TC-018 City Town Field Invalid Input Validation, TC-032 Emergency Contact Attachment Upload, TC-030 Emergency Contact Single Entry Delete</t>
  </si>
  <si>
    <t>Fix in next sprint</t>
  </si>
  <si>
    <t>Nice to have — minimal user impact</t>
  </si>
  <si>
    <t>Cosmetic behavior, Cancel button checks, minor edge cases</t>
  </si>
  <si>
    <t>TC-036 Emergency Contacts Cancel Button Functionality, TC-190 Session Persistence After Login</t>
  </si>
  <si>
    <t>Fix when time allows</t>
  </si>
  <si>
    <t>BUG SEVERITY</t>
  </si>
  <si>
    <t>System broken — major feature completely fails</t>
  </si>
  <si>
    <t>Login impossible, Admin cannot save critical HR data, restricted field becomes editable</t>
  </si>
  <si>
    <t>BUG-001 Login fails with valid credentials, BUG-002 Employee ID editable by regular user</t>
  </si>
  <si>
    <t>Fix within 24 hours</t>
  </si>
  <si>
    <t>Important feature fails — workaround needed</t>
  </si>
  <si>
    <t>Add/Edit/Delete broken on a My Info or Admin screen, attachment upload fails</t>
  </si>
  <si>
    <t>BUG-003 Emergency Contact Save button unresponsive, BUG-004 Photo upload always rejected</t>
  </si>
  <si>
    <t>Fix within 3–5 days</t>
  </si>
  <si>
    <t>Feature works but has noticeable errors</t>
  </si>
  <si>
    <t>Validation message missing/incorrect, list not refreshing after save</t>
  </si>
  <si>
    <t>BUG-005 Invalid email format accepted in Work Email, BUG-006 Deleted dependent still shown in list</t>
  </si>
  <si>
    <t>Minor visual or text issue, no real impact</t>
  </si>
  <si>
    <t>Typo, spacing, icon alignment</t>
  </si>
  <si>
    <t>BUG-007 Misaligned label on Contact Details form</t>
  </si>
  <si>
    <t>🔥 HOT FIX — What Is It and Where Does It Go?</t>
  </si>
  <si>
    <t>What is a Hot Fix?</t>
  </si>
  <si>
    <t>An emergency fix released immediately outside the normal sprint or release cycle. Used when a Critical bug blocks users from completing key actions (login, saving personal/HR data, Admin access).</t>
  </si>
  <si>
    <t>When to use it?</t>
  </si>
  <si>
    <t>Severity = Critical AND the bug blocks login, breaks role-based access control, or exposes/loses HR data. Example: BUG-001 (login fails) and BUG-002 (restricted field editable).</t>
  </si>
  <si>
    <t>Where does it go in Jira?</t>
  </si>
  <si>
    <t>In Jira: add the label 'hot-fix' to the issue. Set Priority = Critical. Set Fix Version = 'Hotfix-1.x'. Notify the dev team immediately via Slack/email.</t>
  </si>
  <si>
    <t>Where in our Excel?</t>
  </si>
  <si>
    <t>In the Bugs sheet → the Hot Fix column = '🔥 HOT FIX'. This flags it for the developer and PM to act on immediately.</t>
  </si>
  <si>
    <t>Hot Fix workflow:</t>
  </si>
  <si>
    <t>QA finds Critical bug → writes Defect Report (linked to its Test Case ID) → marks Hot Fix → Dev fixes within 24h → QA re-tests → marks Resolved →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</si>
</sst>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7" x14ac:knownFonts="1">
    <font>
      <sz val="11"/>
      <color theme="1"/>
      <name val="Calibri"/>
      <family val="2"/>
      <charset val="1"/>
    </font>
    <font>
      <sz val="11"/>
      <color theme="1"/>
      <name val="Arial"/>
      <family val="2"/>
      <charset val="1"/>
    </font>
    <font>
      <b/>
      <sz val="11"/>
      <color theme="1"/>
      <name val="Calibri"/>
      <family val="2"/>
      <charset val="178"/>
    </font>
    <font>
      <sz val="10"/>
      <color theme="1"/>
      <name val="Calibri"/>
      <family val="2"/>
      <charset val="178"/>
    </font>
    <font>
      <b/>
      <sz val="14"/>
      <color rgb="FFFFFFFF"/>
      <name val="Arial"/>
      <family val="2"/>
      <charset val="1"/>
    </font>
    <font>
      <b/>
      <sz val="10"/>
      <color rgb="FFFFFFFF"/>
      <name val="Arial"/>
      <family val="2"/>
      <charset val="178"/>
    </font>
    <font>
      <b/>
      <sz val="11"/>
      <color rgb="FF000000"/>
      <name val="Arial"/>
      <family val="2"/>
      <charset val="178"/>
    </font>
    <font>
      <b/>
      <sz val="11"/>
      <color rgb="FF000000"/>
      <name val="Calibri"/>
      <family val="2"/>
      <charset val="178"/>
    </font>
    <font>
      <sz val="10"/>
      <name val="Arial"/>
      <family val="2"/>
      <charset val="1"/>
    </font>
    <font>
      <sz val="10"/>
      <color rgb="FF000000"/>
      <name val="Arial"/>
      <family val="2"/>
      <charset val="178"/>
    </font>
    <font>
      <b/>
      <sz val="11"/>
      <color theme="1"/>
      <name val="Arial"/>
      <family val="2"/>
      <charset val="1"/>
    </font>
    <font>
      <sz val="10"/>
      <color theme="1"/>
      <name val="Arial"/>
      <family val="2"/>
      <charset val="1"/>
    </font>
    <font>
      <b/>
      <sz val="11"/>
      <color theme="1"/>
      <name val="Arial"/>
      <family val="2"/>
      <charset val="178"/>
    </font>
    <font>
      <b/>
      <sz val="13"/>
      <color rgb="FFFFFFFF"/>
      <name val="Arial"/>
      <charset val="1"/>
    </font>
    <font>
      <b/>
      <sz val="10"/>
      <color rgb="FFFFFFFF"/>
      <name val="Arial"/>
      <charset val="1"/>
    </font>
    <font>
      <sz val="10"/>
      <name val="Arial"/>
      <charset val="1"/>
    </font>
    <font>
      <b/>
      <sz val="10"/>
      <name val="Arial"/>
      <charset val="1"/>
    </font>
    <font>
      <b/>
      <sz val="14"/>
      <color rgb="FFFFFFFF"/>
      <name val="Arial"/>
      <charset val="1"/>
    </font>
    <font>
      <b/>
      <sz val="9"/>
      <name val="Arial"/>
      <charset val="1"/>
    </font>
    <font>
      <sz val="9"/>
      <name val="Arial"/>
      <charset val="1"/>
    </font>
    <font>
      <b/>
      <sz val="10"/>
      <color rgb="FFFFFFFF"/>
      <name val="Arial"/>
      <family val="2"/>
      <charset val="1"/>
    </font>
    <font>
      <b/>
      <sz val="11"/>
      <color theme="0"/>
      <name val="Calibri"/>
      <family val="2"/>
      <charset val="1"/>
    </font>
    <font>
      <b/>
      <sz val="11"/>
      <color rgb="FFFFFFFF"/>
      <name val="Arial"/>
      <charset val="1"/>
    </font>
    <font>
      <sz val="11"/>
      <name val="Calibri"/>
      <family val="2"/>
      <charset val="178"/>
    </font>
    <font>
      <b/>
      <sz val="10"/>
      <color rgb="FF276221"/>
      <name val="Arial"/>
      <charset val="1"/>
    </font>
    <font>
      <sz val="10"/>
      <color rgb="FF000000"/>
      <name val="Arial"/>
      <charset val="1"/>
    </font>
    <font>
      <b/>
      <sz val="10"/>
      <color rgb="FF9C5700"/>
      <name val="Arial"/>
      <charset val="1"/>
    </font>
  </fonts>
  <fills count="14">
    <fill>
      <patternFill patternType="none"/>
    </fill>
    <fill>
      <patternFill patternType="gray125"/>
    </fill>
    <fill>
      <patternFill patternType="solid">
        <fgColor rgb="FF1F4E79"/>
        <bgColor rgb="FF003366"/>
      </patternFill>
    </fill>
    <fill>
      <patternFill patternType="solid">
        <fgColor rgb="FF2E75B6"/>
        <bgColor rgb="FF4F81BD"/>
      </patternFill>
    </fill>
    <fill>
      <patternFill patternType="solid">
        <fgColor theme="0" tint="-4.9989318521683403E-2"/>
        <bgColor rgb="FFDDEBF7"/>
      </patternFill>
    </fill>
    <fill>
      <patternFill patternType="solid">
        <fgColor rgb="FF00B050"/>
        <bgColor rgb="FF008080"/>
      </patternFill>
    </fill>
    <fill>
      <patternFill patternType="solid">
        <fgColor rgb="FFBDD7EE"/>
        <bgColor rgb="FFD9D9D9"/>
      </patternFill>
    </fill>
    <fill>
      <patternFill patternType="solid">
        <fgColor theme="4"/>
        <bgColor rgb="FF2E75B6"/>
      </patternFill>
    </fill>
    <fill>
      <patternFill patternType="solid">
        <fgColor rgb="FFFFFFFF"/>
        <bgColor rgb="FFF2F2F2"/>
      </patternFill>
    </fill>
    <fill>
      <patternFill patternType="solid">
        <fgColor rgb="FFD9E1F2"/>
        <bgColor rgb="FFDDEBF7"/>
      </patternFill>
    </fill>
    <fill>
      <patternFill patternType="solid">
        <fgColor rgb="FFFFC7CE"/>
        <bgColor rgb="FFD9D9D9"/>
      </patternFill>
    </fill>
    <fill>
      <patternFill patternType="solid">
        <fgColor rgb="FFFFEB9C"/>
        <bgColor rgb="FFF2F2F2"/>
      </patternFill>
    </fill>
    <fill>
      <patternFill patternType="solid">
        <fgColor rgb="FFDDEBF7"/>
        <bgColor rgb="FFD9E1F2"/>
      </patternFill>
    </fill>
    <fill>
      <patternFill patternType="solid">
        <fgColor rgb="FFC6EFCE"/>
        <bgColor rgb="FFDDEBF7"/>
      </patternFill>
    </fill>
  </fills>
  <borders count="12">
    <border>
      <left/>
      <right/>
      <top/>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1" fillId="0" borderId="0"/>
  </cellStyleXfs>
  <cellXfs count="89">
    <xf numFmtId="0" fontId="0" fillId="0" borderId="0" xfId="0"/>
    <xf numFmtId="0" fontId="16" fillId="8" borderId="8" xfId="0" applyFont="1" applyFill="1" applyBorder="1" applyAlignment="1">
      <alignment horizontal="left" vertical="top" wrapText="1"/>
    </xf>
    <xf numFmtId="0" fontId="16" fillId="4" borderId="8" xfId="0" applyFont="1" applyFill="1" applyBorder="1" applyAlignment="1">
      <alignment horizontal="left" vertical="top" wrapText="1"/>
    </xf>
    <xf numFmtId="0" fontId="16" fillId="0" borderId="8" xfId="0" applyFont="1" applyBorder="1" applyAlignment="1">
      <alignment horizontal="left" vertical="top" wrapText="1"/>
    </xf>
    <xf numFmtId="0" fontId="22" fillId="3" borderId="7" xfId="0" applyFont="1" applyFill="1" applyBorder="1" applyAlignment="1">
      <alignment horizontal="left" vertical="top" wrapText="1"/>
    </xf>
    <xf numFmtId="0" fontId="22" fillId="5" borderId="0" xfId="0" applyFont="1" applyFill="1" applyBorder="1"/>
    <xf numFmtId="0" fontId="22" fillId="5" borderId="0" xfId="0" applyFont="1" applyFill="1" applyBorder="1" applyAlignment="1">
      <alignment horizontal="left" vertical="center" wrapText="1"/>
    </xf>
    <xf numFmtId="0" fontId="19" fillId="6" borderId="9" xfId="0" applyFont="1" applyFill="1" applyBorder="1" applyAlignment="1">
      <alignment horizontal="left" vertical="center" wrapText="1"/>
    </xf>
    <xf numFmtId="0" fontId="18" fillId="6" borderId="9" xfId="0" applyFont="1" applyFill="1" applyBorder="1" applyAlignment="1">
      <alignment horizontal="left" vertical="center" wrapText="1"/>
    </xf>
    <xf numFmtId="0" fontId="14" fillId="3" borderId="9" xfId="0" applyFont="1" applyFill="1" applyBorder="1" applyAlignment="1">
      <alignment horizontal="center" vertical="center" wrapText="1"/>
    </xf>
    <xf numFmtId="0" fontId="17" fillId="2" borderId="0" xfId="0" applyFont="1" applyFill="1" applyBorder="1" applyAlignment="1">
      <alignment horizontal="center" vertical="center"/>
    </xf>
    <xf numFmtId="0" fontId="13" fillId="5" borderId="7" xfId="0" applyFont="1" applyFill="1" applyBorder="1" applyAlignment="1">
      <alignment horizontal="left" vertical="center"/>
    </xf>
    <xf numFmtId="0" fontId="4" fillId="2" borderId="1" xfId="0" applyFont="1" applyFill="1" applyBorder="1" applyAlignment="1">
      <alignment horizontal="center" vertical="top"/>
    </xf>
    <xf numFmtId="0" fontId="2" fillId="0" borderId="0" xfId="0" applyFont="1" applyAlignment="1"/>
    <xf numFmtId="0" fontId="3" fillId="0" borderId="0" xfId="0" applyFont="1" applyAlignment="1">
      <alignment horizontal="left"/>
    </xf>
    <xf numFmtId="0" fontId="0" fillId="0" borderId="0" xfId="0" applyAlignment="1"/>
    <xf numFmtId="0" fontId="5" fillId="3" borderId="2"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0" xfId="0" applyFont="1" applyFill="1" applyAlignment="1">
      <alignment horizontal="left" vertical="center" wrapText="1"/>
    </xf>
    <xf numFmtId="0" fontId="5" fillId="3" borderId="3" xfId="0" applyFont="1" applyFill="1" applyBorder="1" applyAlignment="1">
      <alignment horizontal="center" vertical="center" wrapText="1"/>
    </xf>
    <xf numFmtId="0" fontId="2" fillId="0" borderId="0" xfId="0" applyFont="1" applyAlignment="1">
      <alignment vertical="center"/>
    </xf>
    <xf numFmtId="164" fontId="6" fillId="0" borderId="2" xfId="0" applyNumberFormat="1" applyFont="1" applyBorder="1" applyAlignment="1">
      <alignment horizontal="left" vertical="top"/>
    </xf>
    <xf numFmtId="164" fontId="7" fillId="0" borderId="0" xfId="0" applyNumberFormat="1" applyFont="1" applyAlignment="1">
      <alignment horizontal="left" vertical="top" wrapText="1"/>
    </xf>
    <xf numFmtId="0" fontId="8" fillId="0" borderId="0" xfId="0" applyFont="1" applyAlignment="1">
      <alignment horizontal="left" vertical="top" wrapText="1"/>
    </xf>
    <xf numFmtId="164" fontId="9" fillId="0" borderId="0" xfId="0" applyNumberFormat="1" applyFont="1" applyAlignment="1">
      <alignment horizontal="left" vertical="top"/>
    </xf>
    <xf numFmtId="0" fontId="0" fillId="0" borderId="0" xfId="0" applyFont="1" applyAlignment="1">
      <alignment horizontal="left" vertical="top" wrapText="1"/>
    </xf>
    <xf numFmtId="164" fontId="10" fillId="0" borderId="0" xfId="0" applyNumberFormat="1" applyFont="1" applyAlignment="1">
      <alignment horizontal="left" vertical="top" wrapText="1"/>
    </xf>
    <xf numFmtId="0" fontId="8" fillId="0" borderId="3" xfId="0" applyFont="1" applyBorder="1" applyAlignment="1">
      <alignment horizontal="left" vertical="top" wrapText="1"/>
    </xf>
    <xf numFmtId="164" fontId="2" fillId="0" borderId="0" xfId="0" applyNumberFormat="1" applyFont="1" applyAlignment="1">
      <alignment horizontal="left" vertical="top" wrapText="1"/>
    </xf>
    <xf numFmtId="164" fontId="9" fillId="0" borderId="0" xfId="0" applyNumberFormat="1" applyFont="1" applyAlignment="1">
      <alignment horizontal="left" vertical="top" readingOrder="1"/>
    </xf>
    <xf numFmtId="0" fontId="11" fillId="0" borderId="0" xfId="0" applyFont="1" applyAlignment="1">
      <alignment horizontal="left" vertical="top"/>
    </xf>
    <xf numFmtId="164" fontId="9" fillId="0" borderId="0" xfId="0" applyNumberFormat="1" applyFont="1" applyAlignment="1">
      <alignment horizontal="left" vertical="top" wrapText="1" readingOrder="1"/>
    </xf>
    <xf numFmtId="164" fontId="9" fillId="0" borderId="0" xfId="0" applyNumberFormat="1" applyFont="1" applyAlignment="1">
      <alignment horizontal="left" vertical="top" wrapText="1"/>
    </xf>
    <xf numFmtId="164" fontId="6" fillId="4" borderId="2" xfId="0" applyNumberFormat="1" applyFont="1" applyFill="1" applyBorder="1" applyAlignment="1">
      <alignment horizontal="left" vertical="top"/>
    </xf>
    <xf numFmtId="164" fontId="2" fillId="4" borderId="0" xfId="0" applyNumberFormat="1" applyFont="1" applyFill="1" applyAlignment="1">
      <alignment horizontal="left" vertical="top" wrapText="1"/>
    </xf>
    <xf numFmtId="0" fontId="11" fillId="4" borderId="0" xfId="0" applyFont="1" applyFill="1" applyAlignment="1">
      <alignment horizontal="left" vertical="top"/>
    </xf>
    <xf numFmtId="0" fontId="9" fillId="4" borderId="0" xfId="0" applyFont="1" applyFill="1" applyAlignment="1">
      <alignment horizontal="left" vertical="top" wrapText="1" readingOrder="1"/>
    </xf>
    <xf numFmtId="0" fontId="0" fillId="4" borderId="0" xfId="0" applyFont="1" applyFill="1" applyAlignment="1">
      <alignment horizontal="left" vertical="top" wrapText="1"/>
    </xf>
    <xf numFmtId="0" fontId="1" fillId="4" borderId="0" xfId="0" applyFont="1" applyFill="1" applyAlignment="1">
      <alignment horizontal="left" vertical="top"/>
    </xf>
    <xf numFmtId="0" fontId="8" fillId="4" borderId="0" xfId="0" applyFont="1" applyFill="1" applyAlignment="1">
      <alignment horizontal="left" vertical="top" wrapText="1"/>
    </xf>
    <xf numFmtId="0" fontId="1" fillId="4" borderId="3" xfId="0" applyFont="1" applyFill="1" applyBorder="1" applyAlignment="1">
      <alignment horizontal="left" vertical="top"/>
    </xf>
    <xf numFmtId="0" fontId="0" fillId="4" borderId="0" xfId="0" applyFill="1" applyAlignment="1"/>
    <xf numFmtId="0" fontId="1" fillId="0" borderId="0" xfId="0" applyFont="1" applyAlignment="1">
      <alignment horizontal="left" vertical="top"/>
    </xf>
    <xf numFmtId="0" fontId="1" fillId="0" borderId="3" xfId="0" applyFont="1" applyBorder="1" applyAlignment="1">
      <alignment horizontal="left" vertical="top"/>
    </xf>
    <xf numFmtId="164" fontId="12" fillId="0" borderId="2" xfId="0" applyNumberFormat="1" applyFont="1" applyBorder="1" applyAlignment="1">
      <alignment horizontal="left" vertical="top"/>
    </xf>
    <xf numFmtId="164" fontId="12" fillId="0" borderId="4" xfId="0" applyNumberFormat="1" applyFont="1" applyBorder="1" applyAlignment="1">
      <alignment horizontal="left" vertical="top"/>
    </xf>
    <xf numFmtId="164" fontId="2" fillId="0" borderId="5" xfId="0" applyNumberFormat="1" applyFont="1" applyBorder="1" applyAlignment="1">
      <alignment horizontal="left" vertical="top" wrapText="1"/>
    </xf>
    <xf numFmtId="0" fontId="11" fillId="0" borderId="5" xfId="0" applyFont="1" applyBorder="1" applyAlignment="1">
      <alignment horizontal="left" vertical="top"/>
    </xf>
    <xf numFmtId="164" fontId="9" fillId="0" borderId="5" xfId="0" applyNumberFormat="1" applyFont="1" applyBorder="1" applyAlignment="1">
      <alignment horizontal="left" vertical="top" wrapText="1"/>
    </xf>
    <xf numFmtId="0" fontId="0" fillId="0" borderId="5" xfId="0" applyFont="1" applyBorder="1" applyAlignment="1">
      <alignment horizontal="left" vertical="top" wrapText="1"/>
    </xf>
    <xf numFmtId="164" fontId="10" fillId="0" borderId="5" xfId="0" applyNumberFormat="1" applyFont="1" applyBorder="1" applyAlignment="1">
      <alignment horizontal="left" vertical="top" wrapText="1"/>
    </xf>
    <xf numFmtId="0" fontId="8" fillId="0" borderId="5" xfId="0" applyFont="1" applyBorder="1" applyAlignment="1">
      <alignment horizontal="left" vertical="top" wrapText="1"/>
    </xf>
    <xf numFmtId="0" fontId="1" fillId="0" borderId="5" xfId="0" applyFont="1" applyBorder="1" applyAlignment="1">
      <alignment horizontal="left" vertical="top"/>
    </xf>
    <xf numFmtId="0" fontId="1" fillId="0" borderId="6" xfId="0" applyFont="1" applyBorder="1" applyAlignment="1">
      <alignment horizontal="left" vertical="top"/>
    </xf>
    <xf numFmtId="0" fontId="3" fillId="0" borderId="0" xfId="0" applyFont="1" applyAlignment="1"/>
    <xf numFmtId="0" fontId="14" fillId="3" borderId="8" xfId="0" applyFont="1" applyFill="1" applyBorder="1" applyAlignment="1">
      <alignment horizontal="center" vertical="center" wrapText="1"/>
    </xf>
    <xf numFmtId="0" fontId="15" fillId="0" borderId="8" xfId="0" applyFont="1" applyBorder="1" applyAlignment="1">
      <alignment horizontal="left" vertical="center" wrapText="1"/>
    </xf>
    <xf numFmtId="0" fontId="15" fillId="0" borderId="8" xfId="0" applyFont="1" applyBorder="1" applyAlignment="1">
      <alignment horizontal="center" vertical="center" wrapText="1"/>
    </xf>
    <xf numFmtId="0" fontId="16" fillId="0" borderId="8" xfId="0" applyFont="1" applyBorder="1" applyAlignment="1">
      <alignment horizontal="center" vertical="center" wrapText="1"/>
    </xf>
    <xf numFmtId="0" fontId="0" fillId="0" borderId="0" xfId="0" applyAlignment="1">
      <alignment vertical="top"/>
    </xf>
    <xf numFmtId="0" fontId="16" fillId="6" borderId="10" xfId="0" applyFont="1" applyFill="1" applyBorder="1" applyAlignment="1">
      <alignment horizontal="center" vertical="top"/>
    </xf>
    <xf numFmtId="0" fontId="16" fillId="6" borderId="10" xfId="0" applyFont="1" applyFill="1" applyBorder="1" applyAlignment="1">
      <alignment horizontal="center" vertical="center"/>
    </xf>
    <xf numFmtId="0" fontId="14" fillId="3" borderId="10" xfId="0" applyFont="1" applyFill="1" applyBorder="1" applyAlignment="1">
      <alignment horizontal="center" vertical="center" wrapText="1"/>
    </xf>
    <xf numFmtId="0" fontId="20" fillId="3" borderId="10"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21" fillId="7" borderId="11" xfId="0" applyFont="1" applyFill="1" applyBorder="1" applyAlignment="1">
      <alignment horizontal="center" vertical="center" wrapText="1"/>
    </xf>
    <xf numFmtId="0" fontId="16" fillId="0" borderId="0" xfId="0" applyFont="1"/>
    <xf numFmtId="0" fontId="0" fillId="0" borderId="0" xfId="0" applyAlignment="1">
      <alignment vertical="center"/>
    </xf>
    <xf numFmtId="0" fontId="15" fillId="4" borderId="8" xfId="0" applyFont="1" applyFill="1" applyBorder="1" applyAlignment="1">
      <alignment horizontal="center" vertical="top" wrapText="1"/>
    </xf>
    <xf numFmtId="0" fontId="15" fillId="4" borderId="8" xfId="0" applyFont="1" applyFill="1" applyBorder="1" applyAlignment="1">
      <alignment horizontal="left" vertical="top" wrapText="1"/>
    </xf>
    <xf numFmtId="0" fontId="15" fillId="8" borderId="8" xfId="0" applyFont="1" applyFill="1" applyBorder="1" applyAlignment="1">
      <alignment horizontal="center" vertical="top" wrapText="1"/>
    </xf>
    <xf numFmtId="0" fontId="15" fillId="8" borderId="8" xfId="0" applyFont="1" applyFill="1" applyBorder="1" applyAlignment="1">
      <alignment horizontal="center" vertical="top" wrapText="1"/>
    </xf>
    <xf numFmtId="0" fontId="15" fillId="8" borderId="8" xfId="0" applyFont="1" applyFill="1" applyBorder="1" applyAlignment="1">
      <alignment horizontal="left" vertical="top" wrapText="1"/>
    </xf>
    <xf numFmtId="0" fontId="23" fillId="0" borderId="0" xfId="0" applyFont="1" applyAlignment="1"/>
    <xf numFmtId="0" fontId="16" fillId="9" borderId="8" xfId="0" applyFont="1" applyFill="1" applyBorder="1" applyAlignment="1">
      <alignment horizontal="left" vertical="top" wrapText="1"/>
    </xf>
    <xf numFmtId="0" fontId="15" fillId="10" borderId="8" xfId="0" applyFont="1" applyFill="1" applyBorder="1" applyAlignment="1">
      <alignment horizontal="left" vertical="top" wrapText="1"/>
    </xf>
    <xf numFmtId="0" fontId="15" fillId="11" borderId="8" xfId="0" applyFont="1" applyFill="1" applyBorder="1" applyAlignment="1">
      <alignment horizontal="left" vertical="top" wrapText="1"/>
    </xf>
    <xf numFmtId="0" fontId="15" fillId="12" borderId="8" xfId="0" applyFont="1" applyFill="1" applyBorder="1" applyAlignment="1">
      <alignment horizontal="left" vertical="top" wrapText="1"/>
    </xf>
    <xf numFmtId="0" fontId="15" fillId="13" borderId="8" xfId="0" applyFont="1" applyFill="1" applyBorder="1" applyAlignment="1">
      <alignment horizontal="left" vertical="top" wrapText="1"/>
    </xf>
    <xf numFmtId="0" fontId="15" fillId="6" borderId="8" xfId="0" applyFont="1" applyFill="1" applyBorder="1" applyAlignment="1">
      <alignment horizontal="left" vertical="top" wrapText="1"/>
    </xf>
    <xf numFmtId="0" fontId="24" fillId="13" borderId="8" xfId="0" applyFont="1" applyFill="1" applyBorder="1" applyAlignment="1">
      <alignment horizontal="center" vertical="center" wrapText="1"/>
    </xf>
    <xf numFmtId="0" fontId="25" fillId="13" borderId="8" xfId="0" applyFont="1" applyFill="1" applyBorder="1" applyAlignment="1">
      <alignment horizontal="left" vertical="center" wrapText="1"/>
    </xf>
    <xf numFmtId="0" fontId="16" fillId="0" borderId="8" xfId="0" applyFont="1" applyBorder="1" applyAlignment="1">
      <alignment horizontal="left" vertical="top" wrapText="1"/>
    </xf>
    <xf numFmtId="0" fontId="16" fillId="2" borderId="8" xfId="0" applyFont="1" applyFill="1" applyBorder="1" applyAlignment="1">
      <alignment horizontal="left" vertical="top" wrapText="1"/>
    </xf>
    <xf numFmtId="0" fontId="16" fillId="10" borderId="8" xfId="0" applyFont="1" applyFill="1" applyBorder="1" applyAlignment="1">
      <alignment horizontal="left" vertical="top" wrapText="1"/>
    </xf>
    <xf numFmtId="0" fontId="16" fillId="11" borderId="8" xfId="0" applyFont="1" applyFill="1" applyBorder="1" applyAlignment="1">
      <alignment horizontal="left" vertical="top" wrapText="1"/>
    </xf>
    <xf numFmtId="0" fontId="26" fillId="11" borderId="8" xfId="0" applyFont="1" applyFill="1" applyBorder="1" applyAlignment="1">
      <alignment horizontal="left" vertical="center" wrapText="1"/>
    </xf>
    <xf numFmtId="0" fontId="15" fillId="8" borderId="7" xfId="0" applyFont="1" applyFill="1" applyBorder="1" applyAlignment="1">
      <alignment horizontal="left" vertical="center" wrapText="1"/>
    </xf>
    <xf numFmtId="0" fontId="15" fillId="4" borderId="7" xfId="0" applyFont="1" applyFill="1" applyBorder="1" applyAlignment="1">
      <alignment horizontal="left" vertical="center" wrapText="1"/>
    </xf>
  </cellXfs>
  <cellStyles count="2">
    <cellStyle name="عادي" xfId="0" builtinId="0"/>
    <cellStyle name="عادي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76221"/>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E1F2"/>
      <rgbColor rgb="FFC6EFCE"/>
      <rgbColor rgb="FFFFEB9C"/>
      <rgbColor rgb="FFD9D9D9"/>
      <rgbColor rgb="FFFF99CC"/>
      <rgbColor rgb="FFCC99FF"/>
      <rgbColor rgb="FFFFC7CE"/>
      <rgbColor rgb="FF2E75B6"/>
      <rgbColor rgb="FF33CCCC"/>
      <rgbColor rgb="FF99CC00"/>
      <rgbColor rgb="FFFFCC00"/>
      <rgbColor rgb="FFFF9900"/>
      <rgbColor rgb="FFFF6600"/>
      <rgbColor rgb="FF4F81BD"/>
      <rgbColor rgb="FF969696"/>
      <rgbColor rgb="FF003366"/>
      <rgbColor rgb="FF00B050"/>
      <rgbColor rgb="FF003300"/>
      <rgbColor rgb="FF333300"/>
      <rgbColor rgb="FF9C5700"/>
      <rgbColor rgb="FF993366"/>
      <rgbColor rgb="FF1F4E79"/>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zoomScale="95" zoomScaleNormal="95" workbookViewId="0">
      <pane ySplit="2" topLeftCell="A4" activePane="bottomLeft" state="frozen"/>
      <selection pane="bottomLeft" activeCell="E3" sqref="E3"/>
    </sheetView>
  </sheetViews>
  <sheetFormatPr defaultColWidth="8.6640625" defaultRowHeight="14.4" x14ac:dyDescent="0.3"/>
  <cols>
    <col min="1" max="1" width="16.33203125" style="13" customWidth="1"/>
    <col min="2" max="2" width="24" style="13" customWidth="1"/>
    <col min="3" max="3" width="25.6640625" style="14" customWidth="1"/>
    <col min="4" max="4" width="56.44140625" style="15" customWidth="1"/>
    <col min="5" max="5" width="55" style="15" customWidth="1"/>
    <col min="6" max="6" width="8" style="15" customWidth="1"/>
    <col min="7" max="7" width="14" style="15" customWidth="1"/>
    <col min="8" max="8" width="16" style="15" customWidth="1"/>
    <col min="9" max="9" width="12" style="15" customWidth="1"/>
    <col min="10" max="10" width="20" style="15" customWidth="1"/>
  </cols>
  <sheetData>
    <row r="1" spans="1:10" ht="30" customHeight="1" x14ac:dyDescent="0.3">
      <c r="A1" s="12" t="s">
        <v>0</v>
      </c>
      <c r="B1" s="12"/>
      <c r="C1" s="12"/>
      <c r="D1" s="12"/>
      <c r="E1" s="12"/>
      <c r="F1" s="12"/>
      <c r="G1" s="12"/>
      <c r="H1" s="12"/>
      <c r="I1" s="12"/>
      <c r="J1" s="12"/>
    </row>
    <row r="2" spans="1:10" s="20" customFormat="1" ht="19.5" customHeight="1" x14ac:dyDescent="0.3">
      <c r="A2" s="16" t="s">
        <v>1</v>
      </c>
      <c r="B2" s="17" t="s">
        <v>2</v>
      </c>
      <c r="C2" s="18" t="s">
        <v>3</v>
      </c>
      <c r="D2" s="17" t="s">
        <v>4</v>
      </c>
      <c r="E2" s="17" t="s">
        <v>5</v>
      </c>
      <c r="F2" s="17" t="s">
        <v>6</v>
      </c>
      <c r="G2" s="17" t="s">
        <v>7</v>
      </c>
      <c r="H2" s="17" t="s">
        <v>8</v>
      </c>
      <c r="I2" s="17" t="s">
        <v>9</v>
      </c>
      <c r="J2" s="19" t="s">
        <v>10</v>
      </c>
    </row>
    <row r="3" spans="1:10" ht="120" customHeight="1" x14ac:dyDescent="0.3">
      <c r="A3" s="21" t="s">
        <v>11</v>
      </c>
      <c r="B3" s="22" t="s">
        <v>12</v>
      </c>
      <c r="C3" s="23" t="s">
        <v>13</v>
      </c>
      <c r="D3" s="24" t="s">
        <v>14</v>
      </c>
      <c r="E3" s="25" t="s">
        <v>15</v>
      </c>
      <c r="F3" s="26" t="s">
        <v>16</v>
      </c>
      <c r="G3" s="23" t="s">
        <v>17</v>
      </c>
      <c r="H3" s="23" t="s">
        <v>18</v>
      </c>
      <c r="I3" s="23"/>
      <c r="J3" s="27"/>
    </row>
    <row r="4" spans="1:10" ht="105" customHeight="1" x14ac:dyDescent="0.3">
      <c r="A4" s="21" t="s">
        <v>19</v>
      </c>
      <c r="B4" s="28" t="s">
        <v>20</v>
      </c>
      <c r="C4" s="23" t="s">
        <v>21</v>
      </c>
      <c r="D4" s="24" t="s">
        <v>22</v>
      </c>
      <c r="E4" s="25" t="s">
        <v>23</v>
      </c>
      <c r="F4" s="26" t="s">
        <v>16</v>
      </c>
      <c r="G4" s="23" t="s">
        <v>17</v>
      </c>
      <c r="H4" s="23" t="s">
        <v>18</v>
      </c>
      <c r="I4" s="23"/>
      <c r="J4" s="27"/>
    </row>
    <row r="5" spans="1:10" ht="75" customHeight="1" x14ac:dyDescent="0.3">
      <c r="A5" s="21" t="s">
        <v>24</v>
      </c>
      <c r="B5" s="22" t="s">
        <v>25</v>
      </c>
      <c r="C5" s="23" t="s">
        <v>26</v>
      </c>
      <c r="D5" s="24" t="s">
        <v>27</v>
      </c>
      <c r="E5" s="25" t="s">
        <v>28</v>
      </c>
      <c r="F5" s="26" t="s">
        <v>16</v>
      </c>
      <c r="G5" s="23" t="s">
        <v>17</v>
      </c>
      <c r="H5" s="23" t="s">
        <v>18</v>
      </c>
      <c r="I5" s="23"/>
      <c r="J5" s="27"/>
    </row>
    <row r="6" spans="1:10" ht="75" customHeight="1" x14ac:dyDescent="0.3">
      <c r="A6" s="21" t="s">
        <v>29</v>
      </c>
      <c r="B6" s="28" t="s">
        <v>30</v>
      </c>
      <c r="C6" s="23" t="s">
        <v>31</v>
      </c>
      <c r="D6" s="29" t="s">
        <v>32</v>
      </c>
      <c r="E6" s="25" t="s">
        <v>33</v>
      </c>
      <c r="F6" s="26" t="s">
        <v>16</v>
      </c>
      <c r="G6" s="23" t="s">
        <v>17</v>
      </c>
      <c r="H6" s="23" t="s">
        <v>18</v>
      </c>
      <c r="I6" s="23"/>
      <c r="J6" s="27"/>
    </row>
    <row r="7" spans="1:10" ht="75" customHeight="1" x14ac:dyDescent="0.3">
      <c r="A7" s="21" t="s">
        <v>34</v>
      </c>
      <c r="B7" s="22" t="s">
        <v>35</v>
      </c>
      <c r="C7" s="23" t="s">
        <v>36</v>
      </c>
      <c r="D7" s="24" t="s">
        <v>37</v>
      </c>
      <c r="E7" s="25" t="s">
        <v>38</v>
      </c>
      <c r="F7" s="26" t="s">
        <v>16</v>
      </c>
      <c r="G7" s="23" t="s">
        <v>17</v>
      </c>
      <c r="H7" s="23" t="s">
        <v>18</v>
      </c>
      <c r="I7" s="23"/>
      <c r="J7" s="27"/>
    </row>
    <row r="8" spans="1:10" ht="45" customHeight="1" x14ac:dyDescent="0.3">
      <c r="A8" s="21" t="s">
        <v>39</v>
      </c>
      <c r="B8" s="28" t="s">
        <v>40</v>
      </c>
      <c r="C8" s="30" t="s">
        <v>41</v>
      </c>
      <c r="D8" s="31" t="s">
        <v>42</v>
      </c>
      <c r="E8" s="25" t="s">
        <v>43</v>
      </c>
      <c r="F8" s="26" t="s">
        <v>16</v>
      </c>
      <c r="G8" s="23" t="s">
        <v>17</v>
      </c>
      <c r="H8" s="23" t="s">
        <v>18</v>
      </c>
      <c r="I8" s="23"/>
      <c r="J8" s="27"/>
    </row>
    <row r="9" spans="1:10" ht="45" customHeight="1" x14ac:dyDescent="0.3">
      <c r="A9" s="21" t="s">
        <v>44</v>
      </c>
      <c r="B9" s="22" t="s">
        <v>45</v>
      </c>
      <c r="C9" s="30" t="s">
        <v>46</v>
      </c>
      <c r="D9" s="32" t="s">
        <v>47</v>
      </c>
      <c r="E9" s="25" t="s">
        <v>48</v>
      </c>
      <c r="F9" s="26" t="s">
        <v>16</v>
      </c>
      <c r="G9" s="23" t="s">
        <v>17</v>
      </c>
      <c r="H9" s="23" t="s">
        <v>18</v>
      </c>
      <c r="I9" s="23"/>
      <c r="J9" s="27"/>
    </row>
    <row r="10" spans="1:10" s="41" customFormat="1" ht="45" customHeight="1" x14ac:dyDescent="0.3">
      <c r="A10" s="33" t="s">
        <v>49</v>
      </c>
      <c r="B10" s="34" t="s">
        <v>50</v>
      </c>
      <c r="C10" s="35" t="s">
        <v>51</v>
      </c>
      <c r="D10" s="36" t="s">
        <v>52</v>
      </c>
      <c r="E10" s="37" t="s">
        <v>53</v>
      </c>
      <c r="F10" s="38" t="s">
        <v>54</v>
      </c>
      <c r="G10" s="39" t="s">
        <v>17</v>
      </c>
      <c r="H10" s="39" t="s">
        <v>18</v>
      </c>
      <c r="I10" s="38"/>
      <c r="J10" s="40"/>
    </row>
    <row r="11" spans="1:10" ht="210" customHeight="1" x14ac:dyDescent="0.3">
      <c r="A11" s="21" t="s">
        <v>55</v>
      </c>
      <c r="B11" s="28" t="s">
        <v>56</v>
      </c>
      <c r="C11" s="30" t="s">
        <v>57</v>
      </c>
      <c r="D11" s="31" t="s">
        <v>58</v>
      </c>
      <c r="E11" s="25" t="s">
        <v>59</v>
      </c>
      <c r="F11" s="26" t="s">
        <v>16</v>
      </c>
      <c r="G11" s="23" t="s">
        <v>17</v>
      </c>
      <c r="H11" s="23" t="s">
        <v>18</v>
      </c>
      <c r="I11" s="42"/>
      <c r="J11" s="43"/>
    </row>
    <row r="12" spans="1:10" ht="195" customHeight="1" x14ac:dyDescent="0.3">
      <c r="A12" s="21" t="s">
        <v>60</v>
      </c>
      <c r="B12" s="28" t="s">
        <v>61</v>
      </c>
      <c r="C12" s="30" t="s">
        <v>62</v>
      </c>
      <c r="D12" s="31" t="s">
        <v>63</v>
      </c>
      <c r="E12" s="25" t="s">
        <v>64</v>
      </c>
      <c r="F12" s="26" t="s">
        <v>16</v>
      </c>
      <c r="G12" s="23" t="s">
        <v>17</v>
      </c>
      <c r="H12" s="23" t="s">
        <v>18</v>
      </c>
      <c r="I12" s="42"/>
      <c r="J12" s="43"/>
    </row>
    <row r="13" spans="1:10" ht="210" customHeight="1" x14ac:dyDescent="0.3">
      <c r="A13" s="21" t="s">
        <v>65</v>
      </c>
      <c r="B13" s="28" t="s">
        <v>66</v>
      </c>
      <c r="C13" s="30" t="s">
        <v>67</v>
      </c>
      <c r="D13" s="32" t="s">
        <v>68</v>
      </c>
      <c r="E13" s="25" t="s">
        <v>69</v>
      </c>
      <c r="F13" s="26" t="s">
        <v>16</v>
      </c>
      <c r="G13" s="23" t="s">
        <v>17</v>
      </c>
      <c r="H13" s="23" t="s">
        <v>18</v>
      </c>
      <c r="I13" s="42"/>
      <c r="J13" s="43"/>
    </row>
    <row r="14" spans="1:10" ht="195" customHeight="1" x14ac:dyDescent="0.3">
      <c r="A14" s="21" t="s">
        <v>70</v>
      </c>
      <c r="B14" s="28" t="s">
        <v>71</v>
      </c>
      <c r="C14" s="30" t="s">
        <v>72</v>
      </c>
      <c r="D14" s="32" t="s">
        <v>73</v>
      </c>
      <c r="E14" s="25" t="s">
        <v>74</v>
      </c>
      <c r="F14" s="26" t="s">
        <v>16</v>
      </c>
      <c r="G14" s="23" t="s">
        <v>17</v>
      </c>
      <c r="H14" s="23" t="s">
        <v>18</v>
      </c>
      <c r="I14" s="42"/>
      <c r="J14" s="43"/>
    </row>
    <row r="15" spans="1:10" ht="60" customHeight="1" x14ac:dyDescent="0.3">
      <c r="A15" s="21" t="s">
        <v>75</v>
      </c>
      <c r="B15" s="28" t="s">
        <v>76</v>
      </c>
      <c r="C15" s="30" t="s">
        <v>77</v>
      </c>
      <c r="D15" s="32" t="s">
        <v>78</v>
      </c>
      <c r="E15" s="25" t="s">
        <v>79</v>
      </c>
      <c r="F15" s="26" t="s">
        <v>16</v>
      </c>
      <c r="G15" s="23" t="s">
        <v>17</v>
      </c>
      <c r="H15" s="23" t="s">
        <v>18</v>
      </c>
      <c r="I15" s="42"/>
      <c r="J15" s="43"/>
    </row>
    <row r="16" spans="1:10" ht="30" customHeight="1" x14ac:dyDescent="0.3">
      <c r="A16" s="21" t="s">
        <v>80</v>
      </c>
      <c r="B16" s="28" t="s">
        <v>81</v>
      </c>
      <c r="C16" s="30" t="s">
        <v>82</v>
      </c>
      <c r="D16" s="31" t="s">
        <v>83</v>
      </c>
      <c r="E16" s="25" t="s">
        <v>84</v>
      </c>
      <c r="F16" s="26" t="s">
        <v>16</v>
      </c>
      <c r="G16" s="23" t="s">
        <v>17</v>
      </c>
      <c r="H16" s="23" t="s">
        <v>18</v>
      </c>
      <c r="I16" s="42"/>
      <c r="J16" s="43"/>
    </row>
    <row r="17" spans="1:10" ht="15" customHeight="1" x14ac:dyDescent="0.3">
      <c r="A17" s="21" t="s">
        <v>85</v>
      </c>
      <c r="B17" s="28" t="s">
        <v>86</v>
      </c>
      <c r="C17" s="30" t="s">
        <v>87</v>
      </c>
      <c r="D17" s="31" t="s">
        <v>88</v>
      </c>
      <c r="E17" s="25" t="s">
        <v>89</v>
      </c>
      <c r="F17" s="26" t="s">
        <v>16</v>
      </c>
      <c r="G17" s="23" t="s">
        <v>17</v>
      </c>
      <c r="H17" s="23" t="s">
        <v>18</v>
      </c>
      <c r="I17" s="42"/>
      <c r="J17" s="43"/>
    </row>
    <row r="18" spans="1:10" ht="180" customHeight="1" x14ac:dyDescent="0.3">
      <c r="A18" s="21" t="s">
        <v>90</v>
      </c>
      <c r="B18" s="28" t="s">
        <v>91</v>
      </c>
      <c r="C18" s="30" t="s">
        <v>92</v>
      </c>
      <c r="D18" s="32" t="s">
        <v>93</v>
      </c>
      <c r="E18" s="25" t="s">
        <v>94</v>
      </c>
      <c r="F18" s="26" t="s">
        <v>16</v>
      </c>
      <c r="G18" s="23" t="s">
        <v>17</v>
      </c>
      <c r="H18" s="23" t="s">
        <v>18</v>
      </c>
      <c r="I18" s="42"/>
      <c r="J18" s="43"/>
    </row>
    <row r="19" spans="1:10" ht="255" customHeight="1" x14ac:dyDescent="0.3">
      <c r="A19" s="21" t="s">
        <v>95</v>
      </c>
      <c r="B19" s="28" t="s">
        <v>96</v>
      </c>
      <c r="C19" s="30" t="s">
        <v>97</v>
      </c>
      <c r="D19" s="32" t="s">
        <v>98</v>
      </c>
      <c r="E19" s="25" t="s">
        <v>99</v>
      </c>
      <c r="F19" s="26" t="s">
        <v>16</v>
      </c>
      <c r="G19" s="23" t="s">
        <v>17</v>
      </c>
      <c r="H19" s="23" t="s">
        <v>18</v>
      </c>
      <c r="I19" s="42"/>
      <c r="J19" s="43"/>
    </row>
    <row r="20" spans="1:10" ht="180" customHeight="1" x14ac:dyDescent="0.3">
      <c r="A20" s="21" t="s">
        <v>100</v>
      </c>
      <c r="B20" s="28" t="s">
        <v>101</v>
      </c>
      <c r="C20" s="30" t="s">
        <v>102</v>
      </c>
      <c r="D20" s="32" t="s">
        <v>103</v>
      </c>
      <c r="E20" s="25" t="s">
        <v>104</v>
      </c>
      <c r="F20" s="26" t="s">
        <v>16</v>
      </c>
      <c r="G20" s="23" t="s">
        <v>17</v>
      </c>
      <c r="H20" s="23" t="s">
        <v>18</v>
      </c>
      <c r="I20" s="42"/>
      <c r="J20" s="43"/>
    </row>
    <row r="21" spans="1:10" ht="135" customHeight="1" x14ac:dyDescent="0.3">
      <c r="A21" s="21" t="s">
        <v>105</v>
      </c>
      <c r="B21" s="28" t="s">
        <v>106</v>
      </c>
      <c r="C21" s="30" t="s">
        <v>107</v>
      </c>
      <c r="D21" s="31" t="s">
        <v>108</v>
      </c>
      <c r="E21" s="25" t="s">
        <v>109</v>
      </c>
      <c r="F21" s="26" t="s">
        <v>16</v>
      </c>
      <c r="G21" s="23" t="s">
        <v>17</v>
      </c>
      <c r="H21" s="23" t="s">
        <v>18</v>
      </c>
      <c r="I21" s="42"/>
      <c r="J21" s="43"/>
    </row>
    <row r="22" spans="1:10" ht="165" customHeight="1" x14ac:dyDescent="0.3">
      <c r="A22" s="21" t="s">
        <v>110</v>
      </c>
      <c r="B22" s="28" t="s">
        <v>111</v>
      </c>
      <c r="C22" s="30" t="s">
        <v>112</v>
      </c>
      <c r="D22" s="32" t="s">
        <v>113</v>
      </c>
      <c r="E22" s="25" t="s">
        <v>114</v>
      </c>
      <c r="F22" s="26" t="s">
        <v>16</v>
      </c>
      <c r="G22" s="23" t="s">
        <v>17</v>
      </c>
      <c r="H22" s="23" t="s">
        <v>18</v>
      </c>
      <c r="I22" s="42"/>
      <c r="J22" s="43"/>
    </row>
    <row r="23" spans="1:10" ht="90" customHeight="1" x14ac:dyDescent="0.3">
      <c r="A23" s="21" t="s">
        <v>115</v>
      </c>
      <c r="B23" s="28" t="s">
        <v>116</v>
      </c>
      <c r="C23" s="30" t="s">
        <v>117</v>
      </c>
      <c r="D23" s="31" t="s">
        <v>118</v>
      </c>
      <c r="E23" s="25" t="s">
        <v>119</v>
      </c>
      <c r="F23" s="26" t="s">
        <v>16</v>
      </c>
      <c r="G23" s="23" t="s">
        <v>17</v>
      </c>
      <c r="H23" s="23" t="s">
        <v>18</v>
      </c>
      <c r="I23" s="42"/>
      <c r="J23" s="43"/>
    </row>
    <row r="24" spans="1:10" ht="195" customHeight="1" x14ac:dyDescent="0.3">
      <c r="A24" s="21" t="s">
        <v>120</v>
      </c>
      <c r="B24" s="28" t="s">
        <v>121</v>
      </c>
      <c r="C24" s="30" t="s">
        <v>122</v>
      </c>
      <c r="D24" s="32" t="s">
        <v>123</v>
      </c>
      <c r="E24" s="25" t="s">
        <v>124</v>
      </c>
      <c r="F24" s="26" t="s">
        <v>16</v>
      </c>
      <c r="G24" s="23" t="s">
        <v>17</v>
      </c>
      <c r="H24" s="23" t="s">
        <v>18</v>
      </c>
      <c r="I24" s="42"/>
      <c r="J24" s="43"/>
    </row>
    <row r="25" spans="1:10" ht="75" customHeight="1" x14ac:dyDescent="0.3">
      <c r="A25" s="44" t="s">
        <v>125</v>
      </c>
      <c r="B25" s="28" t="s">
        <v>126</v>
      </c>
      <c r="C25" s="30" t="s">
        <v>127</v>
      </c>
      <c r="D25" s="32" t="s">
        <v>128</v>
      </c>
      <c r="E25" s="25" t="s">
        <v>129</v>
      </c>
      <c r="F25" s="26" t="s">
        <v>16</v>
      </c>
      <c r="G25" s="23" t="s">
        <v>17</v>
      </c>
      <c r="H25" s="23" t="s">
        <v>18</v>
      </c>
      <c r="I25" s="42"/>
      <c r="J25" s="43"/>
    </row>
    <row r="26" spans="1:10" ht="75" customHeight="1" x14ac:dyDescent="0.3">
      <c r="A26" s="44" t="s">
        <v>130</v>
      </c>
      <c r="B26" s="28" t="s">
        <v>131</v>
      </c>
      <c r="C26" s="30" t="s">
        <v>132</v>
      </c>
      <c r="D26" s="31" t="s">
        <v>133</v>
      </c>
      <c r="E26" s="25" t="s">
        <v>134</v>
      </c>
      <c r="F26" s="26" t="s">
        <v>16</v>
      </c>
      <c r="G26" s="23" t="s">
        <v>17</v>
      </c>
      <c r="H26" s="23" t="s">
        <v>18</v>
      </c>
      <c r="I26" s="42"/>
      <c r="J26" s="43"/>
    </row>
    <row r="27" spans="1:10" ht="45" customHeight="1" x14ac:dyDescent="0.3">
      <c r="A27" s="44" t="s">
        <v>135</v>
      </c>
      <c r="B27" s="28" t="s">
        <v>136</v>
      </c>
      <c r="C27" s="30" t="s">
        <v>137</v>
      </c>
      <c r="D27" s="32" t="s">
        <v>138</v>
      </c>
      <c r="E27" s="25" t="s">
        <v>139</v>
      </c>
      <c r="F27" s="26" t="s">
        <v>16</v>
      </c>
      <c r="G27" s="23" t="s">
        <v>17</v>
      </c>
      <c r="H27" s="23" t="s">
        <v>18</v>
      </c>
      <c r="I27" s="42"/>
      <c r="J27" s="43"/>
    </row>
    <row r="28" spans="1:10" ht="45" customHeight="1" x14ac:dyDescent="0.3">
      <c r="A28" s="44" t="s">
        <v>140</v>
      </c>
      <c r="B28" s="28" t="s">
        <v>141</v>
      </c>
      <c r="C28" s="30" t="s">
        <v>142</v>
      </c>
      <c r="D28" s="32" t="s">
        <v>143</v>
      </c>
      <c r="E28" s="25" t="s">
        <v>144</v>
      </c>
      <c r="F28" s="26" t="s">
        <v>16</v>
      </c>
      <c r="G28" s="23" t="s">
        <v>17</v>
      </c>
      <c r="H28" s="23" t="s">
        <v>18</v>
      </c>
      <c r="I28" s="42"/>
      <c r="J28" s="43"/>
    </row>
    <row r="29" spans="1:10" ht="45" customHeight="1" x14ac:dyDescent="0.3">
      <c r="A29" s="44" t="s">
        <v>145</v>
      </c>
      <c r="B29" s="28" t="s">
        <v>146</v>
      </c>
      <c r="C29" s="30" t="s">
        <v>147</v>
      </c>
      <c r="D29" s="31" t="s">
        <v>148</v>
      </c>
      <c r="E29" s="25" t="s">
        <v>149</v>
      </c>
      <c r="F29" s="26" t="s">
        <v>16</v>
      </c>
      <c r="G29" s="23" t="s">
        <v>17</v>
      </c>
      <c r="H29" s="23" t="s">
        <v>18</v>
      </c>
      <c r="I29" s="42"/>
      <c r="J29" s="43"/>
    </row>
    <row r="30" spans="1:10" ht="30" customHeight="1" x14ac:dyDescent="0.3">
      <c r="A30" s="44" t="s">
        <v>150</v>
      </c>
      <c r="B30" s="28" t="s">
        <v>151</v>
      </c>
      <c r="C30" s="30" t="s">
        <v>152</v>
      </c>
      <c r="D30" s="31" t="s">
        <v>153</v>
      </c>
      <c r="E30" s="25" t="s">
        <v>154</v>
      </c>
      <c r="F30" s="26" t="s">
        <v>16</v>
      </c>
      <c r="G30" s="23" t="s">
        <v>17</v>
      </c>
      <c r="H30" s="23" t="s">
        <v>18</v>
      </c>
      <c r="I30" s="42"/>
      <c r="J30" s="43"/>
    </row>
    <row r="31" spans="1:10" ht="60" customHeight="1" x14ac:dyDescent="0.3">
      <c r="A31" s="44" t="s">
        <v>155</v>
      </c>
      <c r="B31" s="28" t="s">
        <v>156</v>
      </c>
      <c r="C31" s="30" t="s">
        <v>157</v>
      </c>
      <c r="D31" s="32" t="s">
        <v>158</v>
      </c>
      <c r="E31" s="25" t="s">
        <v>159</v>
      </c>
      <c r="F31" s="26" t="s">
        <v>16</v>
      </c>
      <c r="G31" s="23" t="s">
        <v>17</v>
      </c>
      <c r="H31" s="23" t="s">
        <v>18</v>
      </c>
      <c r="I31" s="42"/>
      <c r="J31" s="43"/>
    </row>
    <row r="32" spans="1:10" ht="45" customHeight="1" x14ac:dyDescent="0.3">
      <c r="A32" s="44" t="s">
        <v>160</v>
      </c>
      <c r="B32" s="28" t="s">
        <v>161</v>
      </c>
      <c r="C32" s="30" t="s">
        <v>162</v>
      </c>
      <c r="D32" s="32" t="s">
        <v>163</v>
      </c>
      <c r="E32" s="25" t="s">
        <v>164</v>
      </c>
      <c r="F32" s="26" t="s">
        <v>16</v>
      </c>
      <c r="G32" s="23" t="s">
        <v>17</v>
      </c>
      <c r="H32" s="23" t="s">
        <v>18</v>
      </c>
      <c r="I32" s="42"/>
      <c r="J32" s="43"/>
    </row>
    <row r="33" spans="1:10" ht="75" customHeight="1" x14ac:dyDescent="0.3">
      <c r="A33" s="45" t="s">
        <v>165</v>
      </c>
      <c r="B33" s="46" t="s">
        <v>166</v>
      </c>
      <c r="C33" s="47" t="s">
        <v>167</v>
      </c>
      <c r="D33" s="48" t="s">
        <v>168</v>
      </c>
      <c r="E33" s="49" t="s">
        <v>169</v>
      </c>
      <c r="F33" s="50" t="s">
        <v>16</v>
      </c>
      <c r="G33" s="51" t="s">
        <v>17</v>
      </c>
      <c r="H33" s="51" t="s">
        <v>18</v>
      </c>
      <c r="I33" s="52"/>
      <c r="J33" s="53"/>
    </row>
    <row r="34" spans="1:10" ht="14.25" customHeight="1" x14ac:dyDescent="0.3">
      <c r="B34" s="25"/>
      <c r="D34" s="54"/>
    </row>
    <row r="35" spans="1:10" ht="14.25" customHeight="1" x14ac:dyDescent="0.3">
      <c r="B35" s="25"/>
      <c r="D35" s="54"/>
    </row>
  </sheetData>
  <mergeCells count="1">
    <mergeCell ref="A1:J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zoomScaleNormal="100" workbookViewId="0">
      <selection sqref="A1:E1"/>
    </sheetView>
  </sheetViews>
  <sheetFormatPr defaultColWidth="8.6640625" defaultRowHeight="14.4" x14ac:dyDescent="0.3"/>
  <cols>
    <col min="1" max="1" width="38" style="15" customWidth="1"/>
    <col min="2" max="5" width="16" style="15" customWidth="1"/>
  </cols>
  <sheetData>
    <row r="1" spans="1:5" ht="21.75" customHeight="1" x14ac:dyDescent="0.3">
      <c r="A1" s="11" t="s">
        <v>170</v>
      </c>
      <c r="B1" s="11"/>
      <c r="C1" s="11"/>
      <c r="D1" s="11"/>
      <c r="E1" s="11"/>
    </row>
    <row r="3" spans="1:5" ht="23.25" customHeight="1" x14ac:dyDescent="0.3">
      <c r="A3" s="55" t="s">
        <v>171</v>
      </c>
      <c r="B3" s="55" t="s">
        <v>172</v>
      </c>
      <c r="C3" s="55" t="s">
        <v>173</v>
      </c>
      <c r="D3" s="55" t="s">
        <v>174</v>
      </c>
      <c r="E3" s="55" t="s">
        <v>175</v>
      </c>
    </row>
    <row r="4" spans="1:5" ht="15" customHeight="1" x14ac:dyDescent="0.3">
      <c r="A4" s="56" t="s">
        <v>176</v>
      </c>
      <c r="B4" s="57">
        <v>15</v>
      </c>
      <c r="C4" s="57">
        <v>150</v>
      </c>
      <c r="D4" s="57">
        <v>98</v>
      </c>
      <c r="E4" s="57">
        <v>52</v>
      </c>
    </row>
    <row r="5" spans="1:5" ht="15" customHeight="1" x14ac:dyDescent="0.3">
      <c r="A5" s="56" t="s">
        <v>177</v>
      </c>
      <c r="B5" s="57">
        <v>9</v>
      </c>
      <c r="C5" s="57">
        <v>33</v>
      </c>
      <c r="D5" s="57">
        <v>31</v>
      </c>
      <c r="E5" s="57">
        <v>2</v>
      </c>
    </row>
    <row r="6" spans="1:5" ht="15" customHeight="1" x14ac:dyDescent="0.3">
      <c r="A6" s="56" t="s">
        <v>178</v>
      </c>
      <c r="B6" s="57">
        <v>5</v>
      </c>
      <c r="C6" s="57">
        <v>30</v>
      </c>
      <c r="D6" s="57">
        <v>10</v>
      </c>
      <c r="E6" s="57">
        <v>20</v>
      </c>
    </row>
    <row r="7" spans="1:5" ht="15" customHeight="1" x14ac:dyDescent="0.3">
      <c r="A7" s="58" t="s">
        <v>179</v>
      </c>
      <c r="B7" s="58">
        <f>SUM(B4:B6)</f>
        <v>29</v>
      </c>
      <c r="C7" s="58">
        <f>SUM(C4:C6)</f>
        <v>213</v>
      </c>
      <c r="D7" s="58">
        <f>SUM(D4:D6)</f>
        <v>139</v>
      </c>
      <c r="E7" s="58">
        <f>SUM(E4:E6)</f>
        <v>74</v>
      </c>
    </row>
  </sheetData>
  <mergeCells count="1">
    <mergeCell ref="A1:E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49"/>
  <sheetViews>
    <sheetView zoomScale="55" zoomScaleNormal="55" workbookViewId="0">
      <pane ySplit="7" topLeftCell="A8" activePane="bottomLeft" state="frozen"/>
      <selection pane="bottomLeft" activeCell="W11" sqref="W11"/>
    </sheetView>
  </sheetViews>
  <sheetFormatPr defaultColWidth="8.6640625" defaultRowHeight="14.4" x14ac:dyDescent="0.3"/>
  <cols>
    <col min="1" max="1" width="10" style="15" customWidth="1"/>
    <col min="2" max="3" width="12" style="15" customWidth="1"/>
    <col min="4" max="4" width="10.88671875" style="15" customWidth="1"/>
    <col min="5" max="5" width="33.88671875" style="59" customWidth="1"/>
    <col min="6" max="6" width="24.44140625" style="15" customWidth="1"/>
    <col min="7" max="7" width="28" style="15" customWidth="1"/>
    <col min="8" max="8" width="33.109375" style="15" customWidth="1"/>
    <col min="9" max="9" width="29.5546875" style="15" customWidth="1"/>
    <col min="10" max="10" width="14.6640625" style="15" customWidth="1"/>
    <col min="11" max="11" width="9.33203125" style="15" customWidth="1"/>
    <col min="12" max="12" width="13" style="15" customWidth="1"/>
    <col min="13" max="13" width="15.6640625" style="15" customWidth="1"/>
    <col min="14" max="14" width="13.109375" style="15" customWidth="1"/>
    <col min="15" max="15" width="11" style="15" customWidth="1"/>
    <col min="16" max="16" width="9.109375" style="15" customWidth="1"/>
    <col min="17" max="17" width="12.5546875" style="15" customWidth="1"/>
    <col min="18" max="18" width="16" customWidth="1"/>
    <col min="19" max="19" width="12" customWidth="1"/>
  </cols>
  <sheetData>
    <row r="1" spans="1:19" ht="30" customHeight="1" x14ac:dyDescent="0.3">
      <c r="A1" s="10" t="s">
        <v>180</v>
      </c>
      <c r="B1" s="10"/>
      <c r="C1" s="10"/>
      <c r="D1" s="10"/>
      <c r="E1" s="10"/>
      <c r="F1" s="10"/>
      <c r="G1" s="10"/>
      <c r="H1" s="10"/>
      <c r="I1" s="10"/>
      <c r="J1" s="10"/>
      <c r="K1" s="10"/>
      <c r="L1" s="10"/>
      <c r="M1" s="10"/>
    </row>
    <row r="2" spans="1:19" ht="15" customHeight="1" x14ac:dyDescent="0.3">
      <c r="A2" s="9" t="s">
        <v>181</v>
      </c>
      <c r="B2" s="9"/>
      <c r="C2" s="9"/>
      <c r="D2" s="9"/>
      <c r="E2" s="9"/>
      <c r="G2" s="9" t="s">
        <v>182</v>
      </c>
      <c r="H2" s="9"/>
      <c r="I2" s="9"/>
      <c r="J2" s="9"/>
      <c r="K2" s="9"/>
    </row>
    <row r="3" spans="1:19" ht="15" customHeight="1" x14ac:dyDescent="0.3">
      <c r="A3" s="8" t="s">
        <v>183</v>
      </c>
      <c r="B3" s="8"/>
      <c r="C3" s="8"/>
      <c r="D3" s="8"/>
      <c r="E3" s="60">
        <f>COUNTA(A8:A996)</f>
        <v>242</v>
      </c>
      <c r="G3" s="8" t="s">
        <v>183</v>
      </c>
      <c r="H3" s="8"/>
      <c r="I3" s="8"/>
      <c r="J3" s="8"/>
      <c r="K3" s="61">
        <f>COUNTA(A8:A996)</f>
        <v>242</v>
      </c>
    </row>
    <row r="4" spans="1:19" ht="15" customHeight="1" x14ac:dyDescent="0.3">
      <c r="A4" s="7" t="s">
        <v>184</v>
      </c>
      <c r="B4" s="7"/>
      <c r="C4" s="7"/>
      <c r="D4" s="7"/>
      <c r="E4" s="60">
        <f>COUNTIF(D8:D996,"InDraft")</f>
        <v>0</v>
      </c>
      <c r="G4" s="7" t="s">
        <v>185</v>
      </c>
      <c r="H4" s="7"/>
      <c r="I4" s="7"/>
      <c r="J4" s="7"/>
      <c r="K4" s="61">
        <f>COUNTIF(L8:L996,"&lt;&gt;Not Executed")</f>
        <v>776</v>
      </c>
    </row>
    <row r="5" spans="1:19" ht="15" customHeight="1" x14ac:dyDescent="0.3">
      <c r="A5" s="7" t="s">
        <v>186</v>
      </c>
      <c r="B5" s="7"/>
      <c r="C5" s="7"/>
      <c r="D5" s="7"/>
      <c r="E5" s="60">
        <f>COUNTIF(D8:D996,"PendingReview")</f>
        <v>0</v>
      </c>
      <c r="G5" s="7" t="s">
        <v>187</v>
      </c>
      <c r="H5" s="7"/>
      <c r="I5" s="7"/>
      <c r="J5" s="7"/>
      <c r="K5" s="61">
        <f>COUNTIF(L8:L996,"Passed")</f>
        <v>0</v>
      </c>
    </row>
    <row r="6" spans="1:19" ht="15" customHeight="1" x14ac:dyDescent="0.3">
      <c r="A6" s="7" t="s">
        <v>188</v>
      </c>
      <c r="B6" s="7"/>
      <c r="C6" s="7"/>
      <c r="D6" s="7"/>
      <c r="E6" s="60">
        <f>COUNTIF(D8:D996,"Test Ready")</f>
        <v>213</v>
      </c>
      <c r="G6" s="7" t="s">
        <v>189</v>
      </c>
      <c r="H6" s="7"/>
      <c r="I6" s="7"/>
      <c r="J6" s="7"/>
      <c r="K6" s="61">
        <f>COUNTIF(L8:L996,"Failed")</f>
        <v>0</v>
      </c>
    </row>
    <row r="7" spans="1:19" s="67" customFormat="1" ht="26.25" customHeight="1" x14ac:dyDescent="0.25">
      <c r="A7" s="62" t="s">
        <v>190</v>
      </c>
      <c r="B7" s="62" t="s">
        <v>191</v>
      </c>
      <c r="C7" s="63" t="s">
        <v>192</v>
      </c>
      <c r="D7" s="62" t="s">
        <v>193</v>
      </c>
      <c r="E7" s="62" t="s">
        <v>194</v>
      </c>
      <c r="F7" s="62" t="s">
        <v>195</v>
      </c>
      <c r="G7" s="62" t="s">
        <v>196</v>
      </c>
      <c r="H7" s="63" t="s">
        <v>197</v>
      </c>
      <c r="I7" s="62" t="s">
        <v>198</v>
      </c>
      <c r="J7" s="63" t="s">
        <v>199</v>
      </c>
      <c r="K7" s="62" t="s">
        <v>200</v>
      </c>
      <c r="L7" s="62" t="s">
        <v>8</v>
      </c>
      <c r="M7" s="62" t="s">
        <v>201</v>
      </c>
      <c r="N7" s="64" t="s">
        <v>202</v>
      </c>
      <c r="O7" s="65" t="s">
        <v>203</v>
      </c>
      <c r="P7" s="65" t="s">
        <v>204</v>
      </c>
      <c r="Q7" s="65" t="s">
        <v>205</v>
      </c>
      <c r="R7" s="66" t="s">
        <v>1</v>
      </c>
      <c r="S7" s="66" t="s">
        <v>206</v>
      </c>
    </row>
    <row r="8" spans="1:19" ht="19.5" customHeight="1" x14ac:dyDescent="0.3">
      <c r="A8" s="6" t="s">
        <v>207</v>
      </c>
      <c r="B8" s="6"/>
      <c r="C8" s="6"/>
      <c r="D8" s="6"/>
      <c r="E8" s="6"/>
      <c r="F8" s="6"/>
      <c r="G8" s="6"/>
      <c r="H8" s="6"/>
      <c r="I8" s="6"/>
      <c r="J8" s="6"/>
      <c r="K8" s="6"/>
      <c r="L8" s="6"/>
      <c r="M8" s="6"/>
      <c r="N8" s="6"/>
      <c r="O8" s="6"/>
      <c r="P8" s="6"/>
      <c r="Q8" s="6"/>
      <c r="R8" s="5"/>
      <c r="S8" s="5"/>
    </row>
    <row r="9" spans="1:19" ht="60" customHeight="1" x14ac:dyDescent="0.3">
      <c r="A9" s="68">
        <v>1</v>
      </c>
      <c r="B9" s="68">
        <v>1</v>
      </c>
      <c r="C9" s="68" t="s">
        <v>16</v>
      </c>
      <c r="D9" s="68" t="s">
        <v>17</v>
      </c>
      <c r="E9" s="69" t="s">
        <v>208</v>
      </c>
      <c r="F9" s="69" t="s">
        <v>209</v>
      </c>
      <c r="G9" s="69" t="s">
        <v>210</v>
      </c>
      <c r="H9" s="69" t="s">
        <v>211</v>
      </c>
      <c r="I9" s="69" t="s">
        <v>212</v>
      </c>
      <c r="J9" s="68"/>
      <c r="K9" s="68"/>
      <c r="L9" s="68" t="s">
        <v>18</v>
      </c>
      <c r="M9" s="68" t="s">
        <v>213</v>
      </c>
      <c r="N9" s="68"/>
      <c r="O9" s="68" t="s">
        <v>213</v>
      </c>
      <c r="P9" s="68" t="s">
        <v>213</v>
      </c>
      <c r="Q9" s="68" t="s">
        <v>214</v>
      </c>
      <c r="R9" s="68" t="s">
        <v>215</v>
      </c>
      <c r="S9" s="68" t="s">
        <v>216</v>
      </c>
    </row>
    <row r="10" spans="1:19" ht="60" customHeight="1" x14ac:dyDescent="0.3">
      <c r="A10" s="70">
        <f>A9+1</f>
        <v>2</v>
      </c>
      <c r="B10" s="70">
        <v>1</v>
      </c>
      <c r="C10" s="71" t="s">
        <v>16</v>
      </c>
      <c r="D10" s="71" t="s">
        <v>17</v>
      </c>
      <c r="E10" s="72" t="s">
        <v>217</v>
      </c>
      <c r="F10" s="72" t="s">
        <v>209</v>
      </c>
      <c r="G10" s="72" t="s">
        <v>210</v>
      </c>
      <c r="H10" s="72" t="s">
        <v>211</v>
      </c>
      <c r="I10" s="72" t="s">
        <v>218</v>
      </c>
      <c r="J10" s="70"/>
      <c r="K10" s="70"/>
      <c r="L10" s="71" t="s">
        <v>18</v>
      </c>
      <c r="M10" s="70" t="s">
        <v>213</v>
      </c>
      <c r="N10" s="70"/>
      <c r="O10" s="70" t="s">
        <v>213</v>
      </c>
      <c r="P10" s="70" t="s">
        <v>213</v>
      </c>
      <c r="Q10" s="70" t="s">
        <v>214</v>
      </c>
      <c r="R10" s="70" t="s">
        <v>215</v>
      </c>
      <c r="S10" s="70" t="s">
        <v>219</v>
      </c>
    </row>
    <row r="11" spans="1:19" ht="60" customHeight="1" x14ac:dyDescent="0.3">
      <c r="A11" s="68">
        <f>A10+1</f>
        <v>3</v>
      </c>
      <c r="B11" s="68">
        <v>1</v>
      </c>
      <c r="C11" s="68" t="s">
        <v>16</v>
      </c>
      <c r="D11" s="68" t="s">
        <v>17</v>
      </c>
      <c r="E11" s="69" t="s">
        <v>220</v>
      </c>
      <c r="F11" s="69" t="s">
        <v>209</v>
      </c>
      <c r="G11" s="69" t="s">
        <v>221</v>
      </c>
      <c r="H11" s="69" t="s">
        <v>222</v>
      </c>
      <c r="I11" s="69" t="s">
        <v>223</v>
      </c>
      <c r="J11" s="68"/>
      <c r="K11" s="68"/>
      <c r="L11" s="68" t="s">
        <v>18</v>
      </c>
      <c r="M11" s="68" t="s">
        <v>213</v>
      </c>
      <c r="N11" s="68"/>
      <c r="O11" s="68" t="s">
        <v>213</v>
      </c>
      <c r="P11" s="68" t="s">
        <v>213</v>
      </c>
      <c r="Q11" s="68" t="s">
        <v>214</v>
      </c>
      <c r="R11" s="68" t="s">
        <v>215</v>
      </c>
      <c r="S11" s="68" t="s">
        <v>224</v>
      </c>
    </row>
    <row r="12" spans="1:19" ht="19.5" customHeight="1" x14ac:dyDescent="0.3">
      <c r="A12" s="6" t="s">
        <v>225</v>
      </c>
      <c r="B12" s="6"/>
      <c r="C12" s="6"/>
      <c r="D12" s="6"/>
      <c r="E12" s="6"/>
      <c r="F12" s="6"/>
      <c r="G12" s="6"/>
      <c r="H12" s="6"/>
      <c r="I12" s="6"/>
      <c r="J12" s="6"/>
      <c r="K12" s="6"/>
      <c r="L12" s="6"/>
      <c r="M12" s="6"/>
      <c r="N12" s="6"/>
      <c r="O12" s="6"/>
      <c r="P12" s="6"/>
      <c r="Q12" s="6"/>
      <c r="R12" s="5"/>
      <c r="S12" s="5"/>
    </row>
    <row r="13" spans="1:19" ht="60" customHeight="1" x14ac:dyDescent="0.3">
      <c r="A13" s="70">
        <f>A11+1</f>
        <v>4</v>
      </c>
      <c r="B13" s="70">
        <v>2</v>
      </c>
      <c r="C13" s="71" t="s">
        <v>226</v>
      </c>
      <c r="D13" s="71" t="s">
        <v>17</v>
      </c>
      <c r="E13" s="72" t="s">
        <v>227</v>
      </c>
      <c r="F13" s="72" t="s">
        <v>209</v>
      </c>
      <c r="G13" s="72" t="s">
        <v>228</v>
      </c>
      <c r="H13" s="72" t="s">
        <v>229</v>
      </c>
      <c r="I13" s="72" t="s">
        <v>230</v>
      </c>
      <c r="J13" s="70"/>
      <c r="K13" s="70"/>
      <c r="L13" s="71" t="s">
        <v>18</v>
      </c>
      <c r="M13" s="70" t="s">
        <v>213</v>
      </c>
      <c r="N13" s="70"/>
      <c r="O13" s="70" t="s">
        <v>213</v>
      </c>
      <c r="P13" s="70" t="s">
        <v>213</v>
      </c>
      <c r="Q13" s="70" t="s">
        <v>214</v>
      </c>
      <c r="R13" s="70" t="s">
        <v>44</v>
      </c>
      <c r="S13" s="70" t="s">
        <v>231</v>
      </c>
    </row>
    <row r="14" spans="1:19" ht="60" customHeight="1" x14ac:dyDescent="0.3">
      <c r="A14" s="68">
        <f>A13+1</f>
        <v>5</v>
      </c>
      <c r="B14" s="68">
        <v>2</v>
      </c>
      <c r="C14" s="68" t="s">
        <v>226</v>
      </c>
      <c r="D14" s="68" t="s">
        <v>17</v>
      </c>
      <c r="E14" s="69" t="s">
        <v>232</v>
      </c>
      <c r="F14" s="69" t="s">
        <v>209</v>
      </c>
      <c r="G14" s="69" t="s">
        <v>228</v>
      </c>
      <c r="H14" s="69" t="s">
        <v>229</v>
      </c>
      <c r="I14" s="69" t="s">
        <v>233</v>
      </c>
      <c r="J14" s="68"/>
      <c r="K14" s="68"/>
      <c r="L14" s="68" t="s">
        <v>18</v>
      </c>
      <c r="M14" s="68" t="s">
        <v>213</v>
      </c>
      <c r="N14" s="68"/>
      <c r="O14" s="68" t="s">
        <v>213</v>
      </c>
      <c r="P14" s="68" t="s">
        <v>213</v>
      </c>
      <c r="Q14" s="68" t="s">
        <v>214</v>
      </c>
      <c r="R14" s="68" t="s">
        <v>44</v>
      </c>
      <c r="S14" s="68" t="s">
        <v>234</v>
      </c>
    </row>
    <row r="15" spans="1:19" ht="60" customHeight="1" x14ac:dyDescent="0.3">
      <c r="A15" s="70">
        <f>A14+1</f>
        <v>6</v>
      </c>
      <c r="B15" s="70">
        <v>2</v>
      </c>
      <c r="C15" s="71" t="s">
        <v>226</v>
      </c>
      <c r="D15" s="71" t="s">
        <v>17</v>
      </c>
      <c r="E15" s="72" t="s">
        <v>235</v>
      </c>
      <c r="F15" s="72" t="s">
        <v>209</v>
      </c>
      <c r="G15" s="72" t="s">
        <v>228</v>
      </c>
      <c r="H15" s="72" t="s">
        <v>229</v>
      </c>
      <c r="I15" s="72" t="s">
        <v>236</v>
      </c>
      <c r="J15" s="70"/>
      <c r="K15" s="70"/>
      <c r="L15" s="71" t="s">
        <v>18</v>
      </c>
      <c r="M15" s="70" t="s">
        <v>213</v>
      </c>
      <c r="N15" s="70"/>
      <c r="O15" s="70" t="s">
        <v>213</v>
      </c>
      <c r="P15" s="70" t="s">
        <v>213</v>
      </c>
      <c r="Q15" s="70" t="s">
        <v>214</v>
      </c>
      <c r="R15" s="70" t="s">
        <v>44</v>
      </c>
      <c r="S15" s="70" t="s">
        <v>237</v>
      </c>
    </row>
    <row r="16" spans="1:19" ht="19.5" customHeight="1" x14ac:dyDescent="0.3">
      <c r="A16" s="6" t="s">
        <v>238</v>
      </c>
      <c r="B16" s="6"/>
      <c r="C16" s="6"/>
      <c r="D16" s="6"/>
      <c r="E16" s="6"/>
      <c r="F16" s="6"/>
      <c r="G16" s="6"/>
      <c r="H16" s="6"/>
      <c r="I16" s="6"/>
      <c r="J16" s="6"/>
      <c r="K16" s="6"/>
      <c r="L16" s="6"/>
      <c r="M16" s="6"/>
      <c r="N16" s="6"/>
      <c r="O16" s="6"/>
      <c r="P16" s="6"/>
      <c r="Q16" s="6"/>
      <c r="R16" s="5"/>
      <c r="S16" s="5"/>
    </row>
    <row r="17" spans="1:19" ht="60" customHeight="1" x14ac:dyDescent="0.3">
      <c r="A17" s="68">
        <f>A15+1</f>
        <v>7</v>
      </c>
      <c r="B17" s="68">
        <v>3</v>
      </c>
      <c r="C17" s="68" t="s">
        <v>54</v>
      </c>
      <c r="D17" s="68" t="s">
        <v>17</v>
      </c>
      <c r="E17" s="69" t="s">
        <v>239</v>
      </c>
      <c r="F17" s="69" t="s">
        <v>209</v>
      </c>
      <c r="G17" s="69" t="s">
        <v>240</v>
      </c>
      <c r="H17" s="69" t="s">
        <v>241</v>
      </c>
      <c r="I17" s="69" t="s">
        <v>242</v>
      </c>
      <c r="J17" s="68"/>
      <c r="K17" s="68"/>
      <c r="L17" s="68" t="s">
        <v>18</v>
      </c>
      <c r="M17" s="68" t="s">
        <v>213</v>
      </c>
      <c r="N17" s="68"/>
      <c r="O17" s="68" t="s">
        <v>213</v>
      </c>
      <c r="P17" s="68" t="s">
        <v>213</v>
      </c>
      <c r="Q17" s="68" t="s">
        <v>214</v>
      </c>
      <c r="R17" s="68" t="s">
        <v>49</v>
      </c>
      <c r="S17" s="68" t="s">
        <v>243</v>
      </c>
    </row>
    <row r="18" spans="1:19" ht="60" customHeight="1" x14ac:dyDescent="0.3">
      <c r="A18" s="70">
        <f>A17+1</f>
        <v>8</v>
      </c>
      <c r="B18" s="70">
        <v>3</v>
      </c>
      <c r="C18" s="71" t="s">
        <v>54</v>
      </c>
      <c r="D18" s="71" t="s">
        <v>17</v>
      </c>
      <c r="E18" s="72" t="s">
        <v>244</v>
      </c>
      <c r="F18" s="72" t="s">
        <v>209</v>
      </c>
      <c r="G18" s="72" t="s">
        <v>240</v>
      </c>
      <c r="H18" s="72" t="s">
        <v>241</v>
      </c>
      <c r="I18" s="72" t="s">
        <v>245</v>
      </c>
      <c r="J18" s="70"/>
      <c r="K18" s="70"/>
      <c r="L18" s="71" t="s">
        <v>18</v>
      </c>
      <c r="M18" s="70" t="s">
        <v>213</v>
      </c>
      <c r="N18" s="70"/>
      <c r="O18" s="70" t="s">
        <v>213</v>
      </c>
      <c r="P18" s="70" t="s">
        <v>213</v>
      </c>
      <c r="Q18" s="70" t="s">
        <v>214</v>
      </c>
      <c r="R18" s="70" t="s">
        <v>49</v>
      </c>
      <c r="S18" s="70" t="s">
        <v>246</v>
      </c>
    </row>
    <row r="19" spans="1:19" ht="60" customHeight="1" x14ac:dyDescent="0.3">
      <c r="A19" s="68">
        <f>A18+1</f>
        <v>9</v>
      </c>
      <c r="B19" s="68">
        <v>3</v>
      </c>
      <c r="C19" s="68" t="s">
        <v>54</v>
      </c>
      <c r="D19" s="68" t="s">
        <v>17</v>
      </c>
      <c r="E19" s="69" t="s">
        <v>247</v>
      </c>
      <c r="F19" s="69" t="s">
        <v>209</v>
      </c>
      <c r="G19" s="69" t="s">
        <v>240</v>
      </c>
      <c r="H19" s="69" t="s">
        <v>241</v>
      </c>
      <c r="I19" s="69" t="s">
        <v>248</v>
      </c>
      <c r="J19" s="68"/>
      <c r="K19" s="68"/>
      <c r="L19" s="68" t="s">
        <v>18</v>
      </c>
      <c r="M19" s="68" t="s">
        <v>213</v>
      </c>
      <c r="N19" s="68"/>
      <c r="O19" s="68" t="s">
        <v>213</v>
      </c>
      <c r="P19" s="68" t="s">
        <v>213</v>
      </c>
      <c r="Q19" s="68" t="s">
        <v>214</v>
      </c>
      <c r="R19" s="68" t="s">
        <v>49</v>
      </c>
      <c r="S19" s="68" t="s">
        <v>249</v>
      </c>
    </row>
    <row r="20" spans="1:19" ht="19.5" customHeight="1" x14ac:dyDescent="0.3">
      <c r="A20" s="6" t="s">
        <v>250</v>
      </c>
      <c r="B20" s="6"/>
      <c r="C20" s="6"/>
      <c r="D20" s="6"/>
      <c r="E20" s="6"/>
      <c r="F20" s="6"/>
      <c r="G20" s="6"/>
      <c r="H20" s="6"/>
      <c r="I20" s="6"/>
      <c r="J20" s="6"/>
      <c r="K20" s="6"/>
      <c r="L20" s="6"/>
      <c r="M20" s="6"/>
      <c r="N20" s="6"/>
      <c r="O20" s="6"/>
      <c r="P20" s="6"/>
      <c r="Q20" s="6"/>
      <c r="R20" s="5"/>
      <c r="S20" s="5"/>
    </row>
    <row r="21" spans="1:19" ht="60" customHeight="1" x14ac:dyDescent="0.3">
      <c r="A21" s="70">
        <f>A19+1</f>
        <v>10</v>
      </c>
      <c r="B21" s="70">
        <v>4</v>
      </c>
      <c r="C21" s="71" t="s">
        <v>16</v>
      </c>
      <c r="D21" s="71" t="s">
        <v>17</v>
      </c>
      <c r="E21" s="72" t="s">
        <v>251</v>
      </c>
      <c r="F21" s="72" t="s">
        <v>252</v>
      </c>
      <c r="G21" s="72" t="s">
        <v>210</v>
      </c>
      <c r="H21" s="72" t="s">
        <v>211</v>
      </c>
      <c r="I21" s="72" t="s">
        <v>253</v>
      </c>
      <c r="J21" s="70"/>
      <c r="K21" s="70"/>
      <c r="L21" s="71" t="s">
        <v>18</v>
      </c>
      <c r="M21" s="70" t="s">
        <v>213</v>
      </c>
      <c r="N21" s="70"/>
      <c r="O21" s="70" t="s">
        <v>213</v>
      </c>
      <c r="P21" s="70" t="s">
        <v>213</v>
      </c>
      <c r="Q21" s="70" t="s">
        <v>214</v>
      </c>
      <c r="R21" s="70" t="s">
        <v>55</v>
      </c>
      <c r="S21" s="70" t="s">
        <v>254</v>
      </c>
    </row>
    <row r="22" spans="1:19" ht="60" customHeight="1" x14ac:dyDescent="0.3">
      <c r="A22" s="68">
        <f t="shared" ref="A22:A34" si="0">A21+1</f>
        <v>11</v>
      </c>
      <c r="B22" s="68">
        <v>4</v>
      </c>
      <c r="C22" s="68" t="s">
        <v>54</v>
      </c>
      <c r="D22" s="68" t="s">
        <v>17</v>
      </c>
      <c r="E22" s="69" t="s">
        <v>255</v>
      </c>
      <c r="F22" s="69" t="s">
        <v>252</v>
      </c>
      <c r="G22" s="69" t="s">
        <v>210</v>
      </c>
      <c r="H22" s="69" t="s">
        <v>256</v>
      </c>
      <c r="I22" s="69" t="s">
        <v>257</v>
      </c>
      <c r="J22" s="68"/>
      <c r="K22" s="68"/>
      <c r="L22" s="68" t="s">
        <v>18</v>
      </c>
      <c r="M22" s="68" t="s">
        <v>213</v>
      </c>
      <c r="N22" s="68"/>
      <c r="O22" s="68" t="s">
        <v>213</v>
      </c>
      <c r="P22" s="68" t="s">
        <v>213</v>
      </c>
      <c r="Q22" s="68" t="s">
        <v>214</v>
      </c>
      <c r="R22" s="68" t="s">
        <v>55</v>
      </c>
      <c r="S22" s="68" t="s">
        <v>258</v>
      </c>
    </row>
    <row r="23" spans="1:19" ht="60" customHeight="1" x14ac:dyDescent="0.3">
      <c r="A23" s="70">
        <f t="shared" si="0"/>
        <v>12</v>
      </c>
      <c r="B23" s="70">
        <v>4</v>
      </c>
      <c r="C23" s="71" t="s">
        <v>16</v>
      </c>
      <c r="D23" s="71" t="s">
        <v>17</v>
      </c>
      <c r="E23" s="72" t="s">
        <v>259</v>
      </c>
      <c r="F23" s="72" t="s">
        <v>252</v>
      </c>
      <c r="G23" s="72" t="s">
        <v>210</v>
      </c>
      <c r="H23" s="72" t="s">
        <v>211</v>
      </c>
      <c r="I23" s="72" t="s">
        <v>260</v>
      </c>
      <c r="J23" s="70"/>
      <c r="K23" s="70"/>
      <c r="L23" s="71" t="s">
        <v>18</v>
      </c>
      <c r="M23" s="70" t="s">
        <v>213</v>
      </c>
      <c r="N23" s="70"/>
      <c r="O23" s="70" t="s">
        <v>213</v>
      </c>
      <c r="P23" s="70" t="s">
        <v>213</v>
      </c>
      <c r="Q23" s="70" t="s">
        <v>214</v>
      </c>
      <c r="R23" s="70" t="s">
        <v>55</v>
      </c>
      <c r="S23" s="70" t="s">
        <v>261</v>
      </c>
    </row>
    <row r="24" spans="1:19" ht="60" customHeight="1" x14ac:dyDescent="0.3">
      <c r="A24" s="68">
        <f t="shared" si="0"/>
        <v>13</v>
      </c>
      <c r="B24" s="68">
        <v>4</v>
      </c>
      <c r="C24" s="68" t="s">
        <v>54</v>
      </c>
      <c r="D24" s="68" t="s">
        <v>17</v>
      </c>
      <c r="E24" s="69" t="s">
        <v>262</v>
      </c>
      <c r="F24" s="69" t="s">
        <v>252</v>
      </c>
      <c r="G24" s="69" t="s">
        <v>263</v>
      </c>
      <c r="H24" s="69" t="s">
        <v>264</v>
      </c>
      <c r="I24" s="69" t="s">
        <v>265</v>
      </c>
      <c r="J24" s="68"/>
      <c r="K24" s="68"/>
      <c r="L24" s="68" t="s">
        <v>18</v>
      </c>
      <c r="M24" s="68" t="s">
        <v>213</v>
      </c>
      <c r="N24" s="68"/>
      <c r="O24" s="68" t="s">
        <v>213</v>
      </c>
      <c r="P24" s="68" t="s">
        <v>213</v>
      </c>
      <c r="Q24" s="68" t="s">
        <v>214</v>
      </c>
      <c r="R24" s="68" t="s">
        <v>55</v>
      </c>
      <c r="S24" s="68" t="s">
        <v>266</v>
      </c>
    </row>
    <row r="25" spans="1:19" ht="60" customHeight="1" x14ac:dyDescent="0.3">
      <c r="A25" s="70">
        <f t="shared" si="0"/>
        <v>14</v>
      </c>
      <c r="B25" s="70">
        <v>4</v>
      </c>
      <c r="C25" s="71" t="s">
        <v>16</v>
      </c>
      <c r="D25" s="71" t="s">
        <v>17</v>
      </c>
      <c r="E25" s="72" t="s">
        <v>267</v>
      </c>
      <c r="F25" s="72" t="s">
        <v>252</v>
      </c>
      <c r="G25" s="72" t="s">
        <v>221</v>
      </c>
      <c r="H25" s="72" t="s">
        <v>222</v>
      </c>
      <c r="I25" s="72" t="s">
        <v>268</v>
      </c>
      <c r="J25" s="70"/>
      <c r="K25" s="70"/>
      <c r="L25" s="71" t="s">
        <v>18</v>
      </c>
      <c r="M25" s="70" t="s">
        <v>213</v>
      </c>
      <c r="N25" s="70"/>
      <c r="O25" s="70" t="s">
        <v>213</v>
      </c>
      <c r="P25" s="70" t="s">
        <v>213</v>
      </c>
      <c r="Q25" s="70" t="s">
        <v>214</v>
      </c>
      <c r="R25" s="70" t="s">
        <v>55</v>
      </c>
      <c r="S25" s="70" t="s">
        <v>269</v>
      </c>
    </row>
    <row r="26" spans="1:19" ht="60" customHeight="1" x14ac:dyDescent="0.3">
      <c r="A26" s="68">
        <f t="shared" si="0"/>
        <v>15</v>
      </c>
      <c r="B26" s="68">
        <v>4</v>
      </c>
      <c r="C26" s="68" t="s">
        <v>16</v>
      </c>
      <c r="D26" s="68" t="s">
        <v>17</v>
      </c>
      <c r="E26" s="69" t="s">
        <v>270</v>
      </c>
      <c r="F26" s="69" t="s">
        <v>252</v>
      </c>
      <c r="G26" s="69" t="s">
        <v>221</v>
      </c>
      <c r="H26" s="69" t="s">
        <v>222</v>
      </c>
      <c r="I26" s="69" t="s">
        <v>271</v>
      </c>
      <c r="J26" s="68"/>
      <c r="K26" s="68"/>
      <c r="L26" s="68" t="s">
        <v>18</v>
      </c>
      <c r="M26" s="68" t="s">
        <v>213</v>
      </c>
      <c r="N26" s="68"/>
      <c r="O26" s="68" t="s">
        <v>213</v>
      </c>
      <c r="P26" s="68" t="s">
        <v>213</v>
      </c>
      <c r="Q26" s="68" t="s">
        <v>214</v>
      </c>
      <c r="R26" s="68" t="s">
        <v>55</v>
      </c>
      <c r="S26" s="68" t="s">
        <v>272</v>
      </c>
    </row>
    <row r="27" spans="1:19" ht="60" customHeight="1" x14ac:dyDescent="0.3">
      <c r="A27" s="70">
        <f t="shared" si="0"/>
        <v>16</v>
      </c>
      <c r="B27" s="70">
        <v>4</v>
      </c>
      <c r="C27" s="71" t="s">
        <v>16</v>
      </c>
      <c r="D27" s="71" t="s">
        <v>17</v>
      </c>
      <c r="E27" s="72" t="s">
        <v>273</v>
      </c>
      <c r="F27" s="72" t="s">
        <v>252</v>
      </c>
      <c r="G27" s="72" t="s">
        <v>221</v>
      </c>
      <c r="H27" s="72" t="s">
        <v>222</v>
      </c>
      <c r="I27" s="72" t="s">
        <v>274</v>
      </c>
      <c r="J27" s="70"/>
      <c r="K27" s="70"/>
      <c r="L27" s="71" t="s">
        <v>18</v>
      </c>
      <c r="M27" s="70" t="s">
        <v>213</v>
      </c>
      <c r="N27" s="70"/>
      <c r="O27" s="70" t="s">
        <v>213</v>
      </c>
      <c r="P27" s="70" t="s">
        <v>213</v>
      </c>
      <c r="Q27" s="70" t="s">
        <v>214</v>
      </c>
      <c r="R27" s="70" t="s">
        <v>55</v>
      </c>
      <c r="S27" s="70" t="s">
        <v>275</v>
      </c>
    </row>
    <row r="28" spans="1:19" ht="60" customHeight="1" x14ac:dyDescent="0.3">
      <c r="A28" s="68">
        <f t="shared" si="0"/>
        <v>17</v>
      </c>
      <c r="B28" s="68">
        <v>4</v>
      </c>
      <c r="C28" s="68" t="s">
        <v>54</v>
      </c>
      <c r="D28" s="68" t="s">
        <v>17</v>
      </c>
      <c r="E28" s="69" t="s">
        <v>276</v>
      </c>
      <c r="F28" s="69" t="s">
        <v>252</v>
      </c>
      <c r="G28" s="69" t="s">
        <v>210</v>
      </c>
      <c r="H28" s="69" t="s">
        <v>256</v>
      </c>
      <c r="I28" s="69" t="s">
        <v>277</v>
      </c>
      <c r="J28" s="68"/>
      <c r="K28" s="68"/>
      <c r="L28" s="68" t="s">
        <v>18</v>
      </c>
      <c r="M28" s="68" t="s">
        <v>213</v>
      </c>
      <c r="N28" s="68"/>
      <c r="O28" s="68" t="s">
        <v>213</v>
      </c>
      <c r="P28" s="68" t="s">
        <v>213</v>
      </c>
      <c r="Q28" s="68" t="s">
        <v>214</v>
      </c>
      <c r="R28" s="68" t="s">
        <v>55</v>
      </c>
      <c r="S28" s="68" t="s">
        <v>278</v>
      </c>
    </row>
    <row r="29" spans="1:19" ht="60" customHeight="1" x14ac:dyDescent="0.3">
      <c r="A29" s="70">
        <f t="shared" si="0"/>
        <v>18</v>
      </c>
      <c r="B29" s="70">
        <v>4</v>
      </c>
      <c r="C29" s="71" t="s">
        <v>54</v>
      </c>
      <c r="D29" s="71" t="s">
        <v>17</v>
      </c>
      <c r="E29" s="72" t="s">
        <v>279</v>
      </c>
      <c r="F29" s="72" t="s">
        <v>252</v>
      </c>
      <c r="G29" s="72" t="s">
        <v>263</v>
      </c>
      <c r="H29" s="72" t="s">
        <v>264</v>
      </c>
      <c r="I29" s="72" t="s">
        <v>280</v>
      </c>
      <c r="J29" s="70"/>
      <c r="K29" s="70"/>
      <c r="L29" s="71" t="s">
        <v>18</v>
      </c>
      <c r="M29" s="70" t="s">
        <v>213</v>
      </c>
      <c r="N29" s="70"/>
      <c r="O29" s="70" t="s">
        <v>213</v>
      </c>
      <c r="P29" s="70" t="s">
        <v>213</v>
      </c>
      <c r="Q29" s="70" t="s">
        <v>214</v>
      </c>
      <c r="R29" s="70" t="s">
        <v>55</v>
      </c>
      <c r="S29" s="70" t="s">
        <v>281</v>
      </c>
    </row>
    <row r="30" spans="1:19" ht="60" customHeight="1" x14ac:dyDescent="0.3">
      <c r="A30" s="68">
        <f t="shared" si="0"/>
        <v>19</v>
      </c>
      <c r="B30" s="68">
        <v>4</v>
      </c>
      <c r="C30" s="68" t="s">
        <v>54</v>
      </c>
      <c r="D30" s="68" t="s">
        <v>17</v>
      </c>
      <c r="E30" s="69" t="s">
        <v>282</v>
      </c>
      <c r="F30" s="69" t="s">
        <v>252</v>
      </c>
      <c r="G30" s="69" t="s">
        <v>263</v>
      </c>
      <c r="H30" s="69" t="s">
        <v>264</v>
      </c>
      <c r="I30" s="69" t="s">
        <v>283</v>
      </c>
      <c r="J30" s="68"/>
      <c r="K30" s="68"/>
      <c r="L30" s="68" t="s">
        <v>18</v>
      </c>
      <c r="M30" s="68" t="s">
        <v>213</v>
      </c>
      <c r="N30" s="68"/>
      <c r="O30" s="68" t="s">
        <v>213</v>
      </c>
      <c r="P30" s="68" t="s">
        <v>213</v>
      </c>
      <c r="Q30" s="68" t="s">
        <v>214</v>
      </c>
      <c r="R30" s="68" t="s">
        <v>55</v>
      </c>
      <c r="S30" s="68" t="s">
        <v>284</v>
      </c>
    </row>
    <row r="31" spans="1:19" ht="60" customHeight="1" x14ac:dyDescent="0.3">
      <c r="A31" s="70">
        <f t="shared" si="0"/>
        <v>20</v>
      </c>
      <c r="B31" s="70">
        <v>4</v>
      </c>
      <c r="C31" s="71" t="s">
        <v>54</v>
      </c>
      <c r="D31" s="71" t="s">
        <v>17</v>
      </c>
      <c r="E31" s="72" t="s">
        <v>285</v>
      </c>
      <c r="F31" s="72" t="s">
        <v>252</v>
      </c>
      <c r="G31" s="72" t="s">
        <v>263</v>
      </c>
      <c r="H31" s="72" t="s">
        <v>264</v>
      </c>
      <c r="I31" s="72" t="s">
        <v>286</v>
      </c>
      <c r="J31" s="70"/>
      <c r="K31" s="70"/>
      <c r="L31" s="71" t="s">
        <v>18</v>
      </c>
      <c r="M31" s="70" t="s">
        <v>213</v>
      </c>
      <c r="N31" s="70"/>
      <c r="O31" s="70" t="s">
        <v>213</v>
      </c>
      <c r="P31" s="70" t="s">
        <v>213</v>
      </c>
      <c r="Q31" s="70" t="s">
        <v>214</v>
      </c>
      <c r="R31" s="70" t="s">
        <v>55</v>
      </c>
      <c r="S31" s="70" t="s">
        <v>287</v>
      </c>
    </row>
    <row r="32" spans="1:19" ht="60" customHeight="1" x14ac:dyDescent="0.3">
      <c r="A32" s="68">
        <f t="shared" si="0"/>
        <v>21</v>
      </c>
      <c r="B32" s="68">
        <v>4</v>
      </c>
      <c r="C32" s="68" t="s">
        <v>54</v>
      </c>
      <c r="D32" s="68" t="s">
        <v>17</v>
      </c>
      <c r="E32" s="69" t="s">
        <v>288</v>
      </c>
      <c r="F32" s="69" t="s">
        <v>252</v>
      </c>
      <c r="G32" s="69" t="s">
        <v>263</v>
      </c>
      <c r="H32" s="69" t="s">
        <v>264</v>
      </c>
      <c r="I32" s="69" t="s">
        <v>289</v>
      </c>
      <c r="J32" s="68"/>
      <c r="K32" s="68"/>
      <c r="L32" s="68" t="s">
        <v>18</v>
      </c>
      <c r="M32" s="68" t="s">
        <v>213</v>
      </c>
      <c r="N32" s="68"/>
      <c r="O32" s="68" t="s">
        <v>213</v>
      </c>
      <c r="P32" s="68" t="s">
        <v>213</v>
      </c>
      <c r="Q32" s="68" t="s">
        <v>214</v>
      </c>
      <c r="R32" s="68" t="s">
        <v>55</v>
      </c>
      <c r="S32" s="68" t="s">
        <v>290</v>
      </c>
    </row>
    <row r="33" spans="1:19" ht="60" customHeight="1" x14ac:dyDescent="0.3">
      <c r="A33" s="70">
        <f t="shared" si="0"/>
        <v>22</v>
      </c>
      <c r="B33" s="70">
        <v>4</v>
      </c>
      <c r="C33" s="71" t="s">
        <v>16</v>
      </c>
      <c r="D33" s="71" t="s">
        <v>17</v>
      </c>
      <c r="E33" s="72" t="s">
        <v>291</v>
      </c>
      <c r="F33" s="72" t="s">
        <v>252</v>
      </c>
      <c r="G33" s="72" t="s">
        <v>292</v>
      </c>
      <c r="H33" s="72" t="s">
        <v>293</v>
      </c>
      <c r="I33" s="72" t="s">
        <v>294</v>
      </c>
      <c r="J33" s="70"/>
      <c r="K33" s="70"/>
      <c r="L33" s="71" t="s">
        <v>18</v>
      </c>
      <c r="M33" s="70" t="s">
        <v>213</v>
      </c>
      <c r="N33" s="70"/>
      <c r="O33" s="70" t="s">
        <v>213</v>
      </c>
      <c r="P33" s="70" t="s">
        <v>213</v>
      </c>
      <c r="Q33" s="70" t="s">
        <v>214</v>
      </c>
      <c r="R33" s="70" t="s">
        <v>55</v>
      </c>
      <c r="S33" s="70" t="s">
        <v>295</v>
      </c>
    </row>
    <row r="34" spans="1:19" ht="60" customHeight="1" x14ac:dyDescent="0.3">
      <c r="A34" s="68">
        <f t="shared" si="0"/>
        <v>23</v>
      </c>
      <c r="B34" s="68">
        <v>4</v>
      </c>
      <c r="C34" s="68" t="s">
        <v>16</v>
      </c>
      <c r="D34" s="68" t="s">
        <v>17</v>
      </c>
      <c r="E34" s="69" t="s">
        <v>296</v>
      </c>
      <c r="F34" s="69" t="s">
        <v>252</v>
      </c>
      <c r="G34" s="69" t="s">
        <v>292</v>
      </c>
      <c r="H34" s="69" t="s">
        <v>293</v>
      </c>
      <c r="I34" s="69" t="s">
        <v>297</v>
      </c>
      <c r="J34" s="68"/>
      <c r="K34" s="68"/>
      <c r="L34" s="68" t="s">
        <v>18</v>
      </c>
      <c r="M34" s="68" t="s">
        <v>213</v>
      </c>
      <c r="N34" s="68"/>
      <c r="O34" s="68" t="s">
        <v>213</v>
      </c>
      <c r="P34" s="68" t="s">
        <v>213</v>
      </c>
      <c r="Q34" s="68" t="s">
        <v>214</v>
      </c>
      <c r="R34" s="68" t="s">
        <v>55</v>
      </c>
      <c r="S34" s="68" t="s">
        <v>298</v>
      </c>
    </row>
    <row r="35" spans="1:19" ht="19.5" customHeight="1" x14ac:dyDescent="0.3">
      <c r="A35" s="6" t="s">
        <v>299</v>
      </c>
      <c r="B35" s="6"/>
      <c r="C35" s="6"/>
      <c r="D35" s="6"/>
      <c r="E35" s="6"/>
      <c r="F35" s="6"/>
      <c r="G35" s="6"/>
      <c r="H35" s="6"/>
      <c r="I35" s="6"/>
      <c r="J35" s="6"/>
      <c r="K35" s="6"/>
      <c r="L35" s="6"/>
      <c r="M35" s="6"/>
      <c r="N35" s="6"/>
      <c r="O35" s="6"/>
      <c r="P35" s="6"/>
      <c r="Q35" s="6"/>
      <c r="R35" s="5"/>
      <c r="S35" s="5"/>
    </row>
    <row r="36" spans="1:19" ht="60" customHeight="1" x14ac:dyDescent="0.3">
      <c r="A36" s="70">
        <f>A34+1</f>
        <v>24</v>
      </c>
      <c r="B36" s="70">
        <v>5</v>
      </c>
      <c r="C36" s="71" t="s">
        <v>16</v>
      </c>
      <c r="D36" s="71" t="s">
        <v>17</v>
      </c>
      <c r="E36" s="72" t="s">
        <v>300</v>
      </c>
      <c r="F36" s="72" t="s">
        <v>301</v>
      </c>
      <c r="G36" s="72" t="s">
        <v>210</v>
      </c>
      <c r="H36" s="72" t="s">
        <v>211</v>
      </c>
      <c r="I36" s="72" t="s">
        <v>302</v>
      </c>
      <c r="J36" s="70"/>
      <c r="K36" s="70"/>
      <c r="L36" s="71" t="s">
        <v>18</v>
      </c>
      <c r="M36" s="70" t="s">
        <v>213</v>
      </c>
      <c r="N36" s="70"/>
      <c r="O36" s="70" t="s">
        <v>213</v>
      </c>
      <c r="P36" s="70" t="s">
        <v>213</v>
      </c>
      <c r="Q36" s="70" t="s">
        <v>214</v>
      </c>
      <c r="R36" s="70" t="s">
        <v>60</v>
      </c>
      <c r="S36" s="70" t="s">
        <v>303</v>
      </c>
    </row>
    <row r="37" spans="1:19" ht="60" customHeight="1" x14ac:dyDescent="0.3">
      <c r="A37" s="68">
        <f t="shared" ref="A37:A48" si="1">A36+1</f>
        <v>25</v>
      </c>
      <c r="B37" s="68">
        <v>5</v>
      </c>
      <c r="C37" s="68" t="s">
        <v>16</v>
      </c>
      <c r="D37" s="68" t="s">
        <v>17</v>
      </c>
      <c r="E37" s="69" t="s">
        <v>304</v>
      </c>
      <c r="F37" s="69" t="s">
        <v>301</v>
      </c>
      <c r="G37" s="69" t="s">
        <v>292</v>
      </c>
      <c r="H37" s="69" t="s">
        <v>305</v>
      </c>
      <c r="I37" s="69" t="s">
        <v>306</v>
      </c>
      <c r="J37" s="68"/>
      <c r="K37" s="68"/>
      <c r="L37" s="68" t="s">
        <v>18</v>
      </c>
      <c r="M37" s="68" t="s">
        <v>213</v>
      </c>
      <c r="N37" s="68"/>
      <c r="O37" s="68" t="s">
        <v>213</v>
      </c>
      <c r="P37" s="68" t="s">
        <v>213</v>
      </c>
      <c r="Q37" s="68" t="s">
        <v>214</v>
      </c>
      <c r="R37" s="68" t="s">
        <v>60</v>
      </c>
      <c r="S37" s="68" t="s">
        <v>307</v>
      </c>
    </row>
    <row r="38" spans="1:19" ht="60" customHeight="1" x14ac:dyDescent="0.3">
      <c r="A38" s="70">
        <f t="shared" si="1"/>
        <v>26</v>
      </c>
      <c r="B38" s="70">
        <v>5</v>
      </c>
      <c r="C38" s="71" t="s">
        <v>54</v>
      </c>
      <c r="D38" s="71" t="s">
        <v>17</v>
      </c>
      <c r="E38" s="72" t="s">
        <v>308</v>
      </c>
      <c r="F38" s="72" t="s">
        <v>301</v>
      </c>
      <c r="G38" s="72" t="s">
        <v>263</v>
      </c>
      <c r="H38" s="72" t="s">
        <v>264</v>
      </c>
      <c r="I38" s="72" t="s">
        <v>309</v>
      </c>
      <c r="J38" s="70"/>
      <c r="K38" s="70"/>
      <c r="L38" s="71" t="s">
        <v>18</v>
      </c>
      <c r="M38" s="70" t="s">
        <v>213</v>
      </c>
      <c r="N38" s="70"/>
      <c r="O38" s="70" t="s">
        <v>213</v>
      </c>
      <c r="P38" s="70" t="s">
        <v>213</v>
      </c>
      <c r="Q38" s="70" t="s">
        <v>214</v>
      </c>
      <c r="R38" s="70" t="s">
        <v>60</v>
      </c>
      <c r="S38" s="70" t="s">
        <v>310</v>
      </c>
    </row>
    <row r="39" spans="1:19" ht="60" customHeight="1" x14ac:dyDescent="0.3">
      <c r="A39" s="68">
        <f t="shared" si="1"/>
        <v>27</v>
      </c>
      <c r="B39" s="68">
        <v>5</v>
      </c>
      <c r="C39" s="68" t="s">
        <v>54</v>
      </c>
      <c r="D39" s="68" t="s">
        <v>17</v>
      </c>
      <c r="E39" s="69" t="s">
        <v>311</v>
      </c>
      <c r="F39" s="69" t="s">
        <v>301</v>
      </c>
      <c r="G39" s="69" t="s">
        <v>263</v>
      </c>
      <c r="H39" s="69" t="s">
        <v>264</v>
      </c>
      <c r="I39" s="69" t="s">
        <v>312</v>
      </c>
      <c r="J39" s="68"/>
      <c r="K39" s="68"/>
      <c r="L39" s="68" t="s">
        <v>18</v>
      </c>
      <c r="M39" s="68" t="s">
        <v>213</v>
      </c>
      <c r="N39" s="68"/>
      <c r="O39" s="68" t="s">
        <v>213</v>
      </c>
      <c r="P39" s="68" t="s">
        <v>213</v>
      </c>
      <c r="Q39" s="68" t="s">
        <v>214</v>
      </c>
      <c r="R39" s="68" t="s">
        <v>60</v>
      </c>
      <c r="S39" s="68" t="s">
        <v>313</v>
      </c>
    </row>
    <row r="40" spans="1:19" s="73" customFormat="1" ht="60" customHeight="1" x14ac:dyDescent="0.3">
      <c r="A40" s="70">
        <f t="shared" si="1"/>
        <v>28</v>
      </c>
      <c r="B40" s="70">
        <v>5</v>
      </c>
      <c r="C40" s="71" t="s">
        <v>16</v>
      </c>
      <c r="D40" s="71" t="s">
        <v>17</v>
      </c>
      <c r="E40" s="72" t="s">
        <v>314</v>
      </c>
      <c r="F40" s="72" t="s">
        <v>301</v>
      </c>
      <c r="G40" s="72" t="s">
        <v>315</v>
      </c>
      <c r="H40" s="72" t="s">
        <v>316</v>
      </c>
      <c r="I40" s="72" t="s">
        <v>317</v>
      </c>
      <c r="J40" s="70"/>
      <c r="K40" s="70"/>
      <c r="L40" s="71" t="s">
        <v>18</v>
      </c>
      <c r="M40" s="70" t="s">
        <v>213</v>
      </c>
      <c r="N40" s="70"/>
      <c r="O40" s="70" t="s">
        <v>213</v>
      </c>
      <c r="P40" s="70" t="s">
        <v>213</v>
      </c>
      <c r="Q40" s="70" t="s">
        <v>214</v>
      </c>
      <c r="R40" s="70" t="s">
        <v>60</v>
      </c>
      <c r="S40" s="70" t="s">
        <v>318</v>
      </c>
    </row>
    <row r="41" spans="1:19" ht="60" customHeight="1" x14ac:dyDescent="0.3">
      <c r="A41" s="68">
        <f t="shared" si="1"/>
        <v>29</v>
      </c>
      <c r="B41" s="68">
        <v>5</v>
      </c>
      <c r="C41" s="68" t="s">
        <v>16</v>
      </c>
      <c r="D41" s="68" t="s">
        <v>17</v>
      </c>
      <c r="E41" s="69" t="s">
        <v>319</v>
      </c>
      <c r="F41" s="69" t="s">
        <v>301</v>
      </c>
      <c r="G41" s="69" t="s">
        <v>221</v>
      </c>
      <c r="H41" s="69" t="s">
        <v>222</v>
      </c>
      <c r="I41" s="69" t="s">
        <v>320</v>
      </c>
      <c r="J41" s="68"/>
      <c r="K41" s="68"/>
      <c r="L41" s="68" t="s">
        <v>18</v>
      </c>
      <c r="M41" s="68" t="s">
        <v>213</v>
      </c>
      <c r="N41" s="68"/>
      <c r="O41" s="68" t="s">
        <v>213</v>
      </c>
      <c r="P41" s="68" t="s">
        <v>213</v>
      </c>
      <c r="Q41" s="68" t="s">
        <v>214</v>
      </c>
      <c r="R41" s="68" t="s">
        <v>60</v>
      </c>
      <c r="S41" s="68" t="s">
        <v>321</v>
      </c>
    </row>
    <row r="42" spans="1:19" ht="60" customHeight="1" x14ac:dyDescent="0.3">
      <c r="A42" s="70">
        <f t="shared" si="1"/>
        <v>30</v>
      </c>
      <c r="B42" s="70">
        <v>5</v>
      </c>
      <c r="C42" s="71" t="s">
        <v>54</v>
      </c>
      <c r="D42" s="71" t="s">
        <v>17</v>
      </c>
      <c r="E42" s="72" t="s">
        <v>322</v>
      </c>
      <c r="F42" s="72" t="s">
        <v>301</v>
      </c>
      <c r="G42" s="72" t="s">
        <v>323</v>
      </c>
      <c r="H42" s="72" t="s">
        <v>324</v>
      </c>
      <c r="I42" s="72" t="s">
        <v>325</v>
      </c>
      <c r="J42" s="70"/>
      <c r="K42" s="70"/>
      <c r="L42" s="71" t="s">
        <v>18</v>
      </c>
      <c r="M42" s="70" t="s">
        <v>213</v>
      </c>
      <c r="N42" s="70"/>
      <c r="O42" s="70" t="s">
        <v>213</v>
      </c>
      <c r="P42" s="70" t="s">
        <v>213</v>
      </c>
      <c r="Q42" s="70" t="s">
        <v>214</v>
      </c>
      <c r="R42" s="70" t="s">
        <v>60</v>
      </c>
      <c r="S42" s="70" t="s">
        <v>326</v>
      </c>
    </row>
    <row r="43" spans="1:19" ht="60" customHeight="1" x14ac:dyDescent="0.3">
      <c r="A43" s="68">
        <f t="shared" si="1"/>
        <v>31</v>
      </c>
      <c r="B43" s="68">
        <v>5</v>
      </c>
      <c r="C43" s="68" t="s">
        <v>54</v>
      </c>
      <c r="D43" s="68" t="s">
        <v>17</v>
      </c>
      <c r="E43" s="69" t="s">
        <v>327</v>
      </c>
      <c r="F43" s="69" t="s">
        <v>301</v>
      </c>
      <c r="G43" s="69" t="s">
        <v>328</v>
      </c>
      <c r="H43" s="69" t="s">
        <v>329</v>
      </c>
      <c r="I43" s="69" t="s">
        <v>330</v>
      </c>
      <c r="J43" s="68"/>
      <c r="K43" s="68"/>
      <c r="L43" s="68" t="s">
        <v>18</v>
      </c>
      <c r="M43" s="68" t="s">
        <v>213</v>
      </c>
      <c r="N43" s="68"/>
      <c r="O43" s="68" t="s">
        <v>213</v>
      </c>
      <c r="P43" s="68" t="s">
        <v>213</v>
      </c>
      <c r="Q43" s="68" t="s">
        <v>214</v>
      </c>
      <c r="R43" s="68" t="s">
        <v>60</v>
      </c>
      <c r="S43" s="68" t="s">
        <v>331</v>
      </c>
    </row>
    <row r="44" spans="1:19" ht="60" customHeight="1" x14ac:dyDescent="0.3">
      <c r="A44" s="70">
        <f t="shared" si="1"/>
        <v>32</v>
      </c>
      <c r="B44" s="70">
        <v>5</v>
      </c>
      <c r="C44" s="71" t="s">
        <v>54</v>
      </c>
      <c r="D44" s="71" t="s">
        <v>17</v>
      </c>
      <c r="E44" s="72" t="s">
        <v>332</v>
      </c>
      <c r="F44" s="72" t="s">
        <v>301</v>
      </c>
      <c r="G44" s="72" t="s">
        <v>240</v>
      </c>
      <c r="H44" s="72" t="s">
        <v>241</v>
      </c>
      <c r="I44" s="72" t="s">
        <v>333</v>
      </c>
      <c r="J44" s="70"/>
      <c r="K44" s="70"/>
      <c r="L44" s="71" t="s">
        <v>18</v>
      </c>
      <c r="M44" s="70" t="s">
        <v>213</v>
      </c>
      <c r="N44" s="70"/>
      <c r="O44" s="70" t="s">
        <v>213</v>
      </c>
      <c r="P44" s="70" t="s">
        <v>213</v>
      </c>
      <c r="Q44" s="70" t="s">
        <v>214</v>
      </c>
      <c r="R44" s="70" t="s">
        <v>60</v>
      </c>
      <c r="S44" s="70" t="s">
        <v>334</v>
      </c>
    </row>
    <row r="45" spans="1:19" ht="60" customHeight="1" x14ac:dyDescent="0.3">
      <c r="A45" s="68">
        <f t="shared" si="1"/>
        <v>33</v>
      </c>
      <c r="B45" s="68">
        <v>5</v>
      </c>
      <c r="C45" s="68" t="s">
        <v>54</v>
      </c>
      <c r="D45" s="68" t="s">
        <v>17</v>
      </c>
      <c r="E45" s="69" t="s">
        <v>335</v>
      </c>
      <c r="F45" s="69" t="s">
        <v>301</v>
      </c>
      <c r="G45" s="69" t="s">
        <v>240</v>
      </c>
      <c r="H45" s="69" t="s">
        <v>241</v>
      </c>
      <c r="I45" s="69" t="s">
        <v>336</v>
      </c>
      <c r="J45" s="68"/>
      <c r="K45" s="68"/>
      <c r="L45" s="68" t="s">
        <v>18</v>
      </c>
      <c r="M45" s="68" t="s">
        <v>213</v>
      </c>
      <c r="N45" s="68"/>
      <c r="O45" s="68" t="s">
        <v>213</v>
      </c>
      <c r="P45" s="68" t="s">
        <v>213</v>
      </c>
      <c r="Q45" s="68" t="s">
        <v>214</v>
      </c>
      <c r="R45" s="68" t="s">
        <v>60</v>
      </c>
      <c r="S45" s="68" t="s">
        <v>337</v>
      </c>
    </row>
    <row r="46" spans="1:19" ht="60" customHeight="1" x14ac:dyDescent="0.3">
      <c r="A46" s="70">
        <f t="shared" si="1"/>
        <v>34</v>
      </c>
      <c r="B46" s="70">
        <v>5</v>
      </c>
      <c r="C46" s="71" t="s">
        <v>54</v>
      </c>
      <c r="D46" s="71" t="s">
        <v>17</v>
      </c>
      <c r="E46" s="72" t="s">
        <v>338</v>
      </c>
      <c r="F46" s="72" t="s">
        <v>301</v>
      </c>
      <c r="G46" s="72" t="s">
        <v>240</v>
      </c>
      <c r="H46" s="72" t="s">
        <v>241</v>
      </c>
      <c r="I46" s="72" t="s">
        <v>339</v>
      </c>
      <c r="J46" s="70"/>
      <c r="K46" s="70"/>
      <c r="L46" s="71" t="s">
        <v>18</v>
      </c>
      <c r="M46" s="70" t="s">
        <v>213</v>
      </c>
      <c r="N46" s="70"/>
      <c r="O46" s="70" t="s">
        <v>213</v>
      </c>
      <c r="P46" s="70" t="s">
        <v>213</v>
      </c>
      <c r="Q46" s="70" t="s">
        <v>214</v>
      </c>
      <c r="R46" s="70" t="s">
        <v>60</v>
      </c>
      <c r="S46" s="70" t="s">
        <v>340</v>
      </c>
    </row>
    <row r="47" spans="1:19" ht="60" customHeight="1" x14ac:dyDescent="0.3">
      <c r="A47" s="68">
        <f t="shared" si="1"/>
        <v>35</v>
      </c>
      <c r="B47" s="68">
        <v>5</v>
      </c>
      <c r="C47" s="68" t="s">
        <v>16</v>
      </c>
      <c r="D47" s="68" t="s">
        <v>17</v>
      </c>
      <c r="E47" s="69" t="s">
        <v>341</v>
      </c>
      <c r="F47" s="69" t="s">
        <v>301</v>
      </c>
      <c r="G47" s="69" t="s">
        <v>292</v>
      </c>
      <c r="H47" s="69" t="s">
        <v>293</v>
      </c>
      <c r="I47" s="69" t="s">
        <v>342</v>
      </c>
      <c r="J47" s="68"/>
      <c r="K47" s="68"/>
      <c r="L47" s="68" t="s">
        <v>18</v>
      </c>
      <c r="M47" s="68" t="s">
        <v>213</v>
      </c>
      <c r="N47" s="68"/>
      <c r="O47" s="68" t="s">
        <v>213</v>
      </c>
      <c r="P47" s="68" t="s">
        <v>213</v>
      </c>
      <c r="Q47" s="68" t="s">
        <v>214</v>
      </c>
      <c r="R47" s="68" t="s">
        <v>60</v>
      </c>
      <c r="S47" s="68" t="s">
        <v>343</v>
      </c>
    </row>
    <row r="48" spans="1:19" ht="60" customHeight="1" x14ac:dyDescent="0.3">
      <c r="A48" s="70">
        <f t="shared" si="1"/>
        <v>36</v>
      </c>
      <c r="B48" s="70">
        <v>5</v>
      </c>
      <c r="C48" s="71" t="s">
        <v>344</v>
      </c>
      <c r="D48" s="71" t="s">
        <v>17</v>
      </c>
      <c r="E48" s="72" t="s">
        <v>345</v>
      </c>
      <c r="F48" s="72" t="s">
        <v>301</v>
      </c>
      <c r="G48" s="72" t="s">
        <v>346</v>
      </c>
      <c r="H48" s="72" t="s">
        <v>347</v>
      </c>
      <c r="I48" s="72" t="s">
        <v>348</v>
      </c>
      <c r="J48" s="70"/>
      <c r="K48" s="70"/>
      <c r="L48" s="71" t="s">
        <v>18</v>
      </c>
      <c r="M48" s="70" t="s">
        <v>213</v>
      </c>
      <c r="N48" s="70"/>
      <c r="O48" s="70" t="s">
        <v>213</v>
      </c>
      <c r="P48" s="70" t="s">
        <v>213</v>
      </c>
      <c r="Q48" s="70" t="s">
        <v>214</v>
      </c>
      <c r="R48" s="70" t="s">
        <v>60</v>
      </c>
      <c r="S48" s="70" t="s">
        <v>349</v>
      </c>
    </row>
    <row r="49" spans="1:19" ht="19.5" customHeight="1" x14ac:dyDescent="0.3">
      <c r="A49" s="6" t="s">
        <v>350</v>
      </c>
      <c r="B49" s="6"/>
      <c r="C49" s="6"/>
      <c r="D49" s="6"/>
      <c r="E49" s="6"/>
      <c r="F49" s="6"/>
      <c r="G49" s="6"/>
      <c r="H49" s="6"/>
      <c r="I49" s="6"/>
      <c r="J49" s="6"/>
      <c r="K49" s="6"/>
      <c r="L49" s="6"/>
      <c r="M49" s="6"/>
      <c r="N49" s="6"/>
      <c r="O49" s="6"/>
      <c r="P49" s="6"/>
      <c r="Q49" s="6"/>
      <c r="R49" s="5"/>
      <c r="S49" s="5"/>
    </row>
    <row r="50" spans="1:19" ht="60" customHeight="1" x14ac:dyDescent="0.3">
      <c r="A50" s="68">
        <f>A48+1</f>
        <v>37</v>
      </c>
      <c r="B50" s="68">
        <v>6</v>
      </c>
      <c r="C50" s="68" t="s">
        <v>16</v>
      </c>
      <c r="D50" s="68" t="s">
        <v>17</v>
      </c>
      <c r="E50" s="69" t="s">
        <v>351</v>
      </c>
      <c r="F50" s="69" t="s">
        <v>352</v>
      </c>
      <c r="G50" s="69" t="s">
        <v>210</v>
      </c>
      <c r="H50" s="69" t="s">
        <v>211</v>
      </c>
      <c r="I50" s="69" t="s">
        <v>353</v>
      </c>
      <c r="J50" s="68"/>
      <c r="K50" s="68"/>
      <c r="L50" s="68" t="s">
        <v>18</v>
      </c>
      <c r="M50" s="68" t="s">
        <v>213</v>
      </c>
      <c r="N50" s="68"/>
      <c r="O50" s="68" t="s">
        <v>213</v>
      </c>
      <c r="P50" s="68" t="s">
        <v>213</v>
      </c>
      <c r="Q50" s="68" t="s">
        <v>214</v>
      </c>
      <c r="R50" s="68" t="s">
        <v>65</v>
      </c>
      <c r="S50" s="68" t="s">
        <v>354</v>
      </c>
    </row>
    <row r="51" spans="1:19" ht="60" customHeight="1" x14ac:dyDescent="0.3">
      <c r="A51" s="70">
        <f t="shared" ref="A51:A63" si="2">A50+1</f>
        <v>38</v>
      </c>
      <c r="B51" s="70">
        <v>6</v>
      </c>
      <c r="C51" s="71" t="s">
        <v>16</v>
      </c>
      <c r="D51" s="71" t="s">
        <v>17</v>
      </c>
      <c r="E51" s="72" t="s">
        <v>355</v>
      </c>
      <c r="F51" s="72" t="s">
        <v>352</v>
      </c>
      <c r="G51" s="72" t="s">
        <v>292</v>
      </c>
      <c r="H51" s="72" t="s">
        <v>305</v>
      </c>
      <c r="I51" s="72" t="s">
        <v>356</v>
      </c>
      <c r="J51" s="70"/>
      <c r="K51" s="70"/>
      <c r="L51" s="71" t="s">
        <v>18</v>
      </c>
      <c r="M51" s="70" t="s">
        <v>213</v>
      </c>
      <c r="N51" s="70"/>
      <c r="O51" s="70" t="s">
        <v>213</v>
      </c>
      <c r="P51" s="70" t="s">
        <v>213</v>
      </c>
      <c r="Q51" s="70" t="s">
        <v>214</v>
      </c>
      <c r="R51" s="70" t="s">
        <v>65</v>
      </c>
      <c r="S51" s="70" t="s">
        <v>357</v>
      </c>
    </row>
    <row r="52" spans="1:19" ht="60" customHeight="1" x14ac:dyDescent="0.3">
      <c r="A52" s="68">
        <f t="shared" si="2"/>
        <v>39</v>
      </c>
      <c r="B52" s="68">
        <v>6</v>
      </c>
      <c r="C52" s="68" t="s">
        <v>16</v>
      </c>
      <c r="D52" s="68" t="s">
        <v>17</v>
      </c>
      <c r="E52" s="69" t="s">
        <v>358</v>
      </c>
      <c r="F52" s="69" t="s">
        <v>352</v>
      </c>
      <c r="G52" s="69" t="s">
        <v>315</v>
      </c>
      <c r="H52" s="69" t="s">
        <v>316</v>
      </c>
      <c r="I52" s="69" t="s">
        <v>359</v>
      </c>
      <c r="J52" s="68"/>
      <c r="K52" s="68"/>
      <c r="L52" s="68" t="s">
        <v>18</v>
      </c>
      <c r="M52" s="68" t="s">
        <v>213</v>
      </c>
      <c r="N52" s="68"/>
      <c r="O52" s="68" t="s">
        <v>213</v>
      </c>
      <c r="P52" s="68" t="s">
        <v>213</v>
      </c>
      <c r="Q52" s="68" t="s">
        <v>214</v>
      </c>
      <c r="R52" s="68" t="s">
        <v>65</v>
      </c>
      <c r="S52" s="68" t="s">
        <v>360</v>
      </c>
    </row>
    <row r="53" spans="1:19" ht="60" customHeight="1" x14ac:dyDescent="0.3">
      <c r="A53" s="70">
        <f t="shared" si="2"/>
        <v>40</v>
      </c>
      <c r="B53" s="70">
        <v>6</v>
      </c>
      <c r="C53" s="71" t="s">
        <v>16</v>
      </c>
      <c r="D53" s="71" t="s">
        <v>17</v>
      </c>
      <c r="E53" s="72" t="s">
        <v>361</v>
      </c>
      <c r="F53" s="72" t="s">
        <v>352</v>
      </c>
      <c r="G53" s="72" t="s">
        <v>221</v>
      </c>
      <c r="H53" s="72" t="s">
        <v>222</v>
      </c>
      <c r="I53" s="72" t="s">
        <v>362</v>
      </c>
      <c r="J53" s="70"/>
      <c r="K53" s="70"/>
      <c r="L53" s="71" t="s">
        <v>18</v>
      </c>
      <c r="M53" s="70" t="s">
        <v>213</v>
      </c>
      <c r="N53" s="70"/>
      <c r="O53" s="70" t="s">
        <v>213</v>
      </c>
      <c r="P53" s="70" t="s">
        <v>213</v>
      </c>
      <c r="Q53" s="70" t="s">
        <v>214</v>
      </c>
      <c r="R53" s="70" t="s">
        <v>65</v>
      </c>
      <c r="S53" s="70" t="s">
        <v>363</v>
      </c>
    </row>
    <row r="54" spans="1:19" ht="60" customHeight="1" x14ac:dyDescent="0.3">
      <c r="A54" s="68">
        <f t="shared" si="2"/>
        <v>41</v>
      </c>
      <c r="B54" s="68">
        <v>6</v>
      </c>
      <c r="C54" s="68" t="s">
        <v>54</v>
      </c>
      <c r="D54" s="68" t="s">
        <v>17</v>
      </c>
      <c r="E54" s="69" t="s">
        <v>364</v>
      </c>
      <c r="F54" s="69" t="s">
        <v>352</v>
      </c>
      <c r="G54" s="69" t="s">
        <v>323</v>
      </c>
      <c r="H54" s="69" t="s">
        <v>324</v>
      </c>
      <c r="I54" s="69" t="s">
        <v>365</v>
      </c>
      <c r="J54" s="68"/>
      <c r="K54" s="68"/>
      <c r="L54" s="68" t="s">
        <v>18</v>
      </c>
      <c r="M54" s="68" t="s">
        <v>213</v>
      </c>
      <c r="N54" s="68"/>
      <c r="O54" s="68" t="s">
        <v>213</v>
      </c>
      <c r="P54" s="68" t="s">
        <v>213</v>
      </c>
      <c r="Q54" s="68" t="s">
        <v>214</v>
      </c>
      <c r="R54" s="68" t="s">
        <v>65</v>
      </c>
      <c r="S54" s="68" t="s">
        <v>366</v>
      </c>
    </row>
    <row r="55" spans="1:19" ht="60" customHeight="1" x14ac:dyDescent="0.3">
      <c r="A55" s="70">
        <f t="shared" si="2"/>
        <v>42</v>
      </c>
      <c r="B55" s="70">
        <v>6</v>
      </c>
      <c r="C55" s="71" t="s">
        <v>54</v>
      </c>
      <c r="D55" s="71" t="s">
        <v>17</v>
      </c>
      <c r="E55" s="72" t="s">
        <v>367</v>
      </c>
      <c r="F55" s="72" t="s">
        <v>352</v>
      </c>
      <c r="G55" s="72" t="s">
        <v>328</v>
      </c>
      <c r="H55" s="72" t="s">
        <v>329</v>
      </c>
      <c r="I55" s="72" t="s">
        <v>368</v>
      </c>
      <c r="J55" s="70"/>
      <c r="K55" s="70"/>
      <c r="L55" s="71" t="s">
        <v>18</v>
      </c>
      <c r="M55" s="70" t="s">
        <v>213</v>
      </c>
      <c r="N55" s="70"/>
      <c r="O55" s="70" t="s">
        <v>213</v>
      </c>
      <c r="P55" s="70" t="s">
        <v>213</v>
      </c>
      <c r="Q55" s="70" t="s">
        <v>214</v>
      </c>
      <c r="R55" s="70" t="s">
        <v>65</v>
      </c>
      <c r="S55" s="70" t="s">
        <v>369</v>
      </c>
    </row>
    <row r="56" spans="1:19" ht="60" customHeight="1" x14ac:dyDescent="0.3">
      <c r="A56" s="68">
        <f t="shared" si="2"/>
        <v>43</v>
      </c>
      <c r="B56" s="68">
        <v>6</v>
      </c>
      <c r="C56" s="68" t="s">
        <v>54</v>
      </c>
      <c r="D56" s="68" t="s">
        <v>17</v>
      </c>
      <c r="E56" s="69" t="s">
        <v>370</v>
      </c>
      <c r="F56" s="69" t="s">
        <v>352</v>
      </c>
      <c r="G56" s="69" t="s">
        <v>240</v>
      </c>
      <c r="H56" s="69" t="s">
        <v>241</v>
      </c>
      <c r="I56" s="69" t="s">
        <v>371</v>
      </c>
      <c r="J56" s="68"/>
      <c r="K56" s="68"/>
      <c r="L56" s="68" t="s">
        <v>18</v>
      </c>
      <c r="M56" s="68" t="s">
        <v>213</v>
      </c>
      <c r="N56" s="68"/>
      <c r="O56" s="68" t="s">
        <v>213</v>
      </c>
      <c r="P56" s="68" t="s">
        <v>213</v>
      </c>
      <c r="Q56" s="68" t="s">
        <v>214</v>
      </c>
      <c r="R56" s="68" t="s">
        <v>65</v>
      </c>
      <c r="S56" s="68" t="s">
        <v>372</v>
      </c>
    </row>
    <row r="57" spans="1:19" ht="60" customHeight="1" x14ac:dyDescent="0.3">
      <c r="A57" s="70">
        <f t="shared" si="2"/>
        <v>44</v>
      </c>
      <c r="B57" s="70">
        <v>6</v>
      </c>
      <c r="C57" s="71" t="s">
        <v>54</v>
      </c>
      <c r="D57" s="71" t="s">
        <v>17</v>
      </c>
      <c r="E57" s="72" t="s">
        <v>373</v>
      </c>
      <c r="F57" s="72" t="s">
        <v>352</v>
      </c>
      <c r="G57" s="72" t="s">
        <v>240</v>
      </c>
      <c r="H57" s="72" t="s">
        <v>241</v>
      </c>
      <c r="I57" s="72" t="s">
        <v>374</v>
      </c>
      <c r="J57" s="70"/>
      <c r="K57" s="70"/>
      <c r="L57" s="71" t="s">
        <v>18</v>
      </c>
      <c r="M57" s="70" t="s">
        <v>213</v>
      </c>
      <c r="N57" s="70"/>
      <c r="O57" s="70" t="s">
        <v>213</v>
      </c>
      <c r="P57" s="70" t="s">
        <v>213</v>
      </c>
      <c r="Q57" s="70" t="s">
        <v>214</v>
      </c>
      <c r="R57" s="70" t="s">
        <v>65</v>
      </c>
      <c r="S57" s="70" t="s">
        <v>375</v>
      </c>
    </row>
    <row r="58" spans="1:19" ht="60" customHeight="1" x14ac:dyDescent="0.3">
      <c r="A58" s="68">
        <f t="shared" si="2"/>
        <v>45</v>
      </c>
      <c r="B58" s="68">
        <v>6</v>
      </c>
      <c r="C58" s="68" t="s">
        <v>54</v>
      </c>
      <c r="D58" s="68" t="s">
        <v>17</v>
      </c>
      <c r="E58" s="69" t="s">
        <v>376</v>
      </c>
      <c r="F58" s="69" t="s">
        <v>352</v>
      </c>
      <c r="G58" s="69" t="s">
        <v>240</v>
      </c>
      <c r="H58" s="69" t="s">
        <v>241</v>
      </c>
      <c r="I58" s="69" t="s">
        <v>377</v>
      </c>
      <c r="J58" s="68"/>
      <c r="K58" s="68"/>
      <c r="L58" s="68" t="s">
        <v>18</v>
      </c>
      <c r="M58" s="68" t="s">
        <v>213</v>
      </c>
      <c r="N58" s="68"/>
      <c r="O58" s="68" t="s">
        <v>213</v>
      </c>
      <c r="P58" s="68" t="s">
        <v>213</v>
      </c>
      <c r="Q58" s="68" t="s">
        <v>214</v>
      </c>
      <c r="R58" s="68" t="s">
        <v>65</v>
      </c>
      <c r="S58" s="68" t="s">
        <v>378</v>
      </c>
    </row>
    <row r="59" spans="1:19" ht="60" customHeight="1" x14ac:dyDescent="0.3">
      <c r="A59" s="70">
        <f t="shared" si="2"/>
        <v>46</v>
      </c>
      <c r="B59" s="70">
        <v>6</v>
      </c>
      <c r="C59" s="71" t="s">
        <v>16</v>
      </c>
      <c r="D59" s="71" t="s">
        <v>17</v>
      </c>
      <c r="E59" s="72" t="s">
        <v>379</v>
      </c>
      <c r="F59" s="72" t="s">
        <v>352</v>
      </c>
      <c r="G59" s="72" t="s">
        <v>210</v>
      </c>
      <c r="H59" s="72" t="s">
        <v>211</v>
      </c>
      <c r="I59" s="72" t="s">
        <v>380</v>
      </c>
      <c r="J59" s="70"/>
      <c r="K59" s="70"/>
      <c r="L59" s="71" t="s">
        <v>18</v>
      </c>
      <c r="M59" s="70" t="s">
        <v>213</v>
      </c>
      <c r="N59" s="70"/>
      <c r="O59" s="70" t="s">
        <v>213</v>
      </c>
      <c r="P59" s="70" t="s">
        <v>213</v>
      </c>
      <c r="Q59" s="70" t="s">
        <v>214</v>
      </c>
      <c r="R59" s="70" t="s">
        <v>65</v>
      </c>
      <c r="S59" s="70" t="s">
        <v>381</v>
      </c>
    </row>
    <row r="60" spans="1:19" ht="60" customHeight="1" x14ac:dyDescent="0.3">
      <c r="A60" s="68">
        <f t="shared" si="2"/>
        <v>47</v>
      </c>
      <c r="B60" s="68">
        <v>6</v>
      </c>
      <c r="C60" s="68" t="s">
        <v>54</v>
      </c>
      <c r="D60" s="68" t="s">
        <v>17</v>
      </c>
      <c r="E60" s="69" t="s">
        <v>382</v>
      </c>
      <c r="F60" s="69" t="s">
        <v>352</v>
      </c>
      <c r="G60" s="69" t="s">
        <v>263</v>
      </c>
      <c r="H60" s="69" t="s">
        <v>264</v>
      </c>
      <c r="I60" s="69" t="s">
        <v>383</v>
      </c>
      <c r="J60" s="68"/>
      <c r="K60" s="68"/>
      <c r="L60" s="68" t="s">
        <v>18</v>
      </c>
      <c r="M60" s="68" t="s">
        <v>213</v>
      </c>
      <c r="N60" s="68"/>
      <c r="O60" s="68" t="s">
        <v>213</v>
      </c>
      <c r="P60" s="68" t="s">
        <v>213</v>
      </c>
      <c r="Q60" s="68" t="s">
        <v>214</v>
      </c>
      <c r="R60" s="68" t="s">
        <v>65</v>
      </c>
      <c r="S60" s="68" t="s">
        <v>384</v>
      </c>
    </row>
    <row r="61" spans="1:19" ht="60" customHeight="1" x14ac:dyDescent="0.3">
      <c r="A61" s="70">
        <f t="shared" si="2"/>
        <v>48</v>
      </c>
      <c r="B61" s="70">
        <v>6</v>
      </c>
      <c r="C61" s="71" t="s">
        <v>16</v>
      </c>
      <c r="D61" s="71" t="s">
        <v>17</v>
      </c>
      <c r="E61" s="72" t="s">
        <v>385</v>
      </c>
      <c r="F61" s="72" t="s">
        <v>352</v>
      </c>
      <c r="G61" s="72" t="s">
        <v>292</v>
      </c>
      <c r="H61" s="72" t="s">
        <v>293</v>
      </c>
      <c r="I61" s="72" t="s">
        <v>386</v>
      </c>
      <c r="J61" s="70"/>
      <c r="K61" s="70"/>
      <c r="L61" s="71" t="s">
        <v>18</v>
      </c>
      <c r="M61" s="70" t="s">
        <v>213</v>
      </c>
      <c r="N61" s="70"/>
      <c r="O61" s="70" t="s">
        <v>213</v>
      </c>
      <c r="P61" s="70" t="s">
        <v>213</v>
      </c>
      <c r="Q61" s="70" t="s">
        <v>214</v>
      </c>
      <c r="R61" s="70" t="s">
        <v>65</v>
      </c>
      <c r="S61" s="70" t="s">
        <v>387</v>
      </c>
    </row>
    <row r="62" spans="1:19" ht="60" customHeight="1" x14ac:dyDescent="0.3">
      <c r="A62" s="68">
        <f t="shared" si="2"/>
        <v>49</v>
      </c>
      <c r="B62" s="68">
        <v>6</v>
      </c>
      <c r="C62" s="68" t="s">
        <v>344</v>
      </c>
      <c r="D62" s="68" t="s">
        <v>17</v>
      </c>
      <c r="E62" s="69" t="s">
        <v>388</v>
      </c>
      <c r="F62" s="69" t="s">
        <v>352</v>
      </c>
      <c r="G62" s="69" t="s">
        <v>346</v>
      </c>
      <c r="H62" s="69" t="s">
        <v>347</v>
      </c>
      <c r="I62" s="69" t="s">
        <v>389</v>
      </c>
      <c r="J62" s="68"/>
      <c r="K62" s="68"/>
      <c r="L62" s="68" t="s">
        <v>18</v>
      </c>
      <c r="M62" s="68" t="s">
        <v>213</v>
      </c>
      <c r="N62" s="68"/>
      <c r="O62" s="68" t="s">
        <v>213</v>
      </c>
      <c r="P62" s="68" t="s">
        <v>213</v>
      </c>
      <c r="Q62" s="68" t="s">
        <v>214</v>
      </c>
      <c r="R62" s="68" t="s">
        <v>65</v>
      </c>
      <c r="S62" s="68" t="s">
        <v>390</v>
      </c>
    </row>
    <row r="63" spans="1:19" ht="60" customHeight="1" x14ac:dyDescent="0.3">
      <c r="A63" s="70">
        <f t="shared" si="2"/>
        <v>50</v>
      </c>
      <c r="B63" s="70">
        <v>6</v>
      </c>
      <c r="C63" s="71" t="s">
        <v>54</v>
      </c>
      <c r="D63" s="71" t="s">
        <v>17</v>
      </c>
      <c r="E63" s="72" t="s">
        <v>391</v>
      </c>
      <c r="F63" s="72" t="s">
        <v>352</v>
      </c>
      <c r="G63" s="72" t="s">
        <v>263</v>
      </c>
      <c r="H63" s="72" t="s">
        <v>264</v>
      </c>
      <c r="I63" s="72" t="s">
        <v>392</v>
      </c>
      <c r="J63" s="70"/>
      <c r="K63" s="70"/>
      <c r="L63" s="71" t="s">
        <v>18</v>
      </c>
      <c r="M63" s="70" t="s">
        <v>213</v>
      </c>
      <c r="N63" s="70"/>
      <c r="O63" s="70" t="s">
        <v>213</v>
      </c>
      <c r="P63" s="70" t="s">
        <v>213</v>
      </c>
      <c r="Q63" s="70" t="s">
        <v>214</v>
      </c>
      <c r="R63" s="70" t="s">
        <v>65</v>
      </c>
      <c r="S63" s="70" t="s">
        <v>393</v>
      </c>
    </row>
    <row r="64" spans="1:19" ht="19.5" customHeight="1" x14ac:dyDescent="0.3">
      <c r="A64" s="6" t="s">
        <v>394</v>
      </c>
      <c r="B64" s="6"/>
      <c r="C64" s="6"/>
      <c r="D64" s="6"/>
      <c r="E64" s="6"/>
      <c r="F64" s="6"/>
      <c r="G64" s="6"/>
      <c r="H64" s="6"/>
      <c r="I64" s="6"/>
      <c r="J64" s="6"/>
      <c r="K64" s="6"/>
      <c r="L64" s="6"/>
      <c r="M64" s="6"/>
      <c r="N64" s="6"/>
      <c r="O64" s="6"/>
      <c r="P64" s="6"/>
      <c r="Q64" s="6"/>
      <c r="R64" s="5"/>
      <c r="S64" s="5"/>
    </row>
    <row r="65" spans="1:19" ht="60" customHeight="1" x14ac:dyDescent="0.3">
      <c r="A65" s="68">
        <f>A63+1</f>
        <v>51</v>
      </c>
      <c r="B65" s="68">
        <v>7</v>
      </c>
      <c r="C65" s="68" t="s">
        <v>16</v>
      </c>
      <c r="D65" s="68" t="s">
        <v>17</v>
      </c>
      <c r="E65" s="69" t="s">
        <v>395</v>
      </c>
      <c r="F65" s="69" t="s">
        <v>396</v>
      </c>
      <c r="G65" s="69" t="s">
        <v>210</v>
      </c>
      <c r="H65" s="69" t="s">
        <v>211</v>
      </c>
      <c r="I65" s="69" t="s">
        <v>397</v>
      </c>
      <c r="J65" s="68"/>
      <c r="K65" s="68"/>
      <c r="L65" s="68" t="s">
        <v>18</v>
      </c>
      <c r="M65" s="68" t="s">
        <v>213</v>
      </c>
      <c r="N65" s="68"/>
      <c r="O65" s="68" t="s">
        <v>213</v>
      </c>
      <c r="P65" s="68" t="s">
        <v>213</v>
      </c>
      <c r="Q65" s="68" t="s">
        <v>214</v>
      </c>
      <c r="R65" s="68" t="s">
        <v>70</v>
      </c>
      <c r="S65" s="68" t="s">
        <v>398</v>
      </c>
    </row>
    <row r="66" spans="1:19" ht="60" customHeight="1" x14ac:dyDescent="0.3">
      <c r="A66" s="70">
        <f t="shared" ref="A66:A77" si="3">A65+1</f>
        <v>52</v>
      </c>
      <c r="B66" s="70">
        <v>7</v>
      </c>
      <c r="C66" s="71" t="s">
        <v>16</v>
      </c>
      <c r="D66" s="71" t="s">
        <v>17</v>
      </c>
      <c r="E66" s="72" t="s">
        <v>399</v>
      </c>
      <c r="F66" s="72" t="s">
        <v>396</v>
      </c>
      <c r="G66" s="72" t="s">
        <v>292</v>
      </c>
      <c r="H66" s="72" t="s">
        <v>305</v>
      </c>
      <c r="I66" s="72" t="s">
        <v>400</v>
      </c>
      <c r="J66" s="70"/>
      <c r="K66" s="70"/>
      <c r="L66" s="71" t="s">
        <v>18</v>
      </c>
      <c r="M66" s="70" t="s">
        <v>213</v>
      </c>
      <c r="N66" s="70"/>
      <c r="O66" s="70" t="s">
        <v>213</v>
      </c>
      <c r="P66" s="70" t="s">
        <v>213</v>
      </c>
      <c r="Q66" s="70" t="s">
        <v>214</v>
      </c>
      <c r="R66" s="70" t="s">
        <v>70</v>
      </c>
      <c r="S66" s="70" t="s">
        <v>401</v>
      </c>
    </row>
    <row r="67" spans="1:19" ht="60" customHeight="1" x14ac:dyDescent="0.3">
      <c r="A67" s="68">
        <f t="shared" si="3"/>
        <v>53</v>
      </c>
      <c r="B67" s="68">
        <v>7</v>
      </c>
      <c r="C67" s="68" t="s">
        <v>16</v>
      </c>
      <c r="D67" s="68" t="s">
        <v>17</v>
      </c>
      <c r="E67" s="69" t="s">
        <v>402</v>
      </c>
      <c r="F67" s="69" t="s">
        <v>396</v>
      </c>
      <c r="G67" s="69" t="s">
        <v>315</v>
      </c>
      <c r="H67" s="69" t="s">
        <v>316</v>
      </c>
      <c r="I67" s="69" t="s">
        <v>403</v>
      </c>
      <c r="J67" s="68"/>
      <c r="K67" s="68"/>
      <c r="L67" s="68" t="s">
        <v>18</v>
      </c>
      <c r="M67" s="68" t="s">
        <v>213</v>
      </c>
      <c r="N67" s="68"/>
      <c r="O67" s="68" t="s">
        <v>213</v>
      </c>
      <c r="P67" s="68" t="s">
        <v>213</v>
      </c>
      <c r="Q67" s="68" t="s">
        <v>214</v>
      </c>
      <c r="R67" s="68" t="s">
        <v>70</v>
      </c>
      <c r="S67" s="68" t="s">
        <v>404</v>
      </c>
    </row>
    <row r="68" spans="1:19" ht="60" customHeight="1" x14ac:dyDescent="0.3">
      <c r="A68" s="70">
        <f t="shared" si="3"/>
        <v>54</v>
      </c>
      <c r="B68" s="70">
        <v>7</v>
      </c>
      <c r="C68" s="71" t="s">
        <v>16</v>
      </c>
      <c r="D68" s="71" t="s">
        <v>17</v>
      </c>
      <c r="E68" s="72" t="s">
        <v>405</v>
      </c>
      <c r="F68" s="72" t="s">
        <v>396</v>
      </c>
      <c r="G68" s="72" t="s">
        <v>221</v>
      </c>
      <c r="H68" s="72" t="s">
        <v>222</v>
      </c>
      <c r="I68" s="72" t="s">
        <v>406</v>
      </c>
      <c r="J68" s="70"/>
      <c r="K68" s="70"/>
      <c r="L68" s="71" t="s">
        <v>18</v>
      </c>
      <c r="M68" s="70" t="s">
        <v>213</v>
      </c>
      <c r="N68" s="70"/>
      <c r="O68" s="70" t="s">
        <v>213</v>
      </c>
      <c r="P68" s="70" t="s">
        <v>213</v>
      </c>
      <c r="Q68" s="70" t="s">
        <v>214</v>
      </c>
      <c r="R68" s="70" t="s">
        <v>70</v>
      </c>
      <c r="S68" s="70" t="s">
        <v>407</v>
      </c>
    </row>
    <row r="69" spans="1:19" ht="60" customHeight="1" x14ac:dyDescent="0.3">
      <c r="A69" s="68">
        <f t="shared" si="3"/>
        <v>55</v>
      </c>
      <c r="B69" s="68">
        <v>7</v>
      </c>
      <c r="C69" s="68" t="s">
        <v>54</v>
      </c>
      <c r="D69" s="68" t="s">
        <v>17</v>
      </c>
      <c r="E69" s="69" t="s">
        <v>408</v>
      </c>
      <c r="F69" s="69" t="s">
        <v>396</v>
      </c>
      <c r="G69" s="69" t="s">
        <v>323</v>
      </c>
      <c r="H69" s="69" t="s">
        <v>324</v>
      </c>
      <c r="I69" s="69" t="s">
        <v>409</v>
      </c>
      <c r="J69" s="68"/>
      <c r="K69" s="68"/>
      <c r="L69" s="68" t="s">
        <v>18</v>
      </c>
      <c r="M69" s="68" t="s">
        <v>213</v>
      </c>
      <c r="N69" s="68"/>
      <c r="O69" s="68" t="s">
        <v>213</v>
      </c>
      <c r="P69" s="68" t="s">
        <v>213</v>
      </c>
      <c r="Q69" s="68" t="s">
        <v>214</v>
      </c>
      <c r="R69" s="68" t="s">
        <v>70</v>
      </c>
      <c r="S69" s="68" t="s">
        <v>410</v>
      </c>
    </row>
    <row r="70" spans="1:19" ht="60" customHeight="1" x14ac:dyDescent="0.3">
      <c r="A70" s="70">
        <f t="shared" si="3"/>
        <v>56</v>
      </c>
      <c r="B70" s="70">
        <v>7</v>
      </c>
      <c r="C70" s="71" t="s">
        <v>54</v>
      </c>
      <c r="D70" s="71" t="s">
        <v>17</v>
      </c>
      <c r="E70" s="72" t="s">
        <v>411</v>
      </c>
      <c r="F70" s="72" t="s">
        <v>396</v>
      </c>
      <c r="G70" s="72" t="s">
        <v>328</v>
      </c>
      <c r="H70" s="72" t="s">
        <v>329</v>
      </c>
      <c r="I70" s="72" t="s">
        <v>412</v>
      </c>
      <c r="J70" s="70"/>
      <c r="K70" s="70"/>
      <c r="L70" s="71" t="s">
        <v>18</v>
      </c>
      <c r="M70" s="70" t="s">
        <v>213</v>
      </c>
      <c r="N70" s="70"/>
      <c r="O70" s="70" t="s">
        <v>213</v>
      </c>
      <c r="P70" s="70" t="s">
        <v>213</v>
      </c>
      <c r="Q70" s="70" t="s">
        <v>214</v>
      </c>
      <c r="R70" s="70" t="s">
        <v>70</v>
      </c>
      <c r="S70" s="70" t="s">
        <v>413</v>
      </c>
    </row>
    <row r="71" spans="1:19" ht="60" customHeight="1" x14ac:dyDescent="0.3">
      <c r="A71" s="68">
        <f t="shared" si="3"/>
        <v>57</v>
      </c>
      <c r="B71" s="68">
        <v>7</v>
      </c>
      <c r="C71" s="68" t="s">
        <v>54</v>
      </c>
      <c r="D71" s="68" t="s">
        <v>17</v>
      </c>
      <c r="E71" s="69" t="s">
        <v>414</v>
      </c>
      <c r="F71" s="69" t="s">
        <v>396</v>
      </c>
      <c r="G71" s="69" t="s">
        <v>240</v>
      </c>
      <c r="H71" s="69" t="s">
        <v>241</v>
      </c>
      <c r="I71" s="69" t="s">
        <v>415</v>
      </c>
      <c r="J71" s="68"/>
      <c r="K71" s="68"/>
      <c r="L71" s="68" t="s">
        <v>18</v>
      </c>
      <c r="M71" s="68" t="s">
        <v>213</v>
      </c>
      <c r="N71" s="68"/>
      <c r="O71" s="68" t="s">
        <v>213</v>
      </c>
      <c r="P71" s="68" t="s">
        <v>213</v>
      </c>
      <c r="Q71" s="68" t="s">
        <v>214</v>
      </c>
      <c r="R71" s="68" t="s">
        <v>70</v>
      </c>
      <c r="S71" s="68" t="s">
        <v>416</v>
      </c>
    </row>
    <row r="72" spans="1:19" ht="60" customHeight="1" x14ac:dyDescent="0.3">
      <c r="A72" s="70">
        <f t="shared" si="3"/>
        <v>58</v>
      </c>
      <c r="B72" s="70">
        <v>7</v>
      </c>
      <c r="C72" s="71" t="s">
        <v>54</v>
      </c>
      <c r="D72" s="71" t="s">
        <v>17</v>
      </c>
      <c r="E72" s="72" t="s">
        <v>417</v>
      </c>
      <c r="F72" s="72" t="s">
        <v>396</v>
      </c>
      <c r="G72" s="72" t="s">
        <v>240</v>
      </c>
      <c r="H72" s="72" t="s">
        <v>241</v>
      </c>
      <c r="I72" s="72" t="s">
        <v>418</v>
      </c>
      <c r="J72" s="70"/>
      <c r="K72" s="70"/>
      <c r="L72" s="71" t="s">
        <v>18</v>
      </c>
      <c r="M72" s="70" t="s">
        <v>213</v>
      </c>
      <c r="N72" s="70"/>
      <c r="O72" s="70" t="s">
        <v>213</v>
      </c>
      <c r="P72" s="70" t="s">
        <v>213</v>
      </c>
      <c r="Q72" s="70" t="s">
        <v>214</v>
      </c>
      <c r="R72" s="70" t="s">
        <v>70</v>
      </c>
      <c r="S72" s="70" t="s">
        <v>419</v>
      </c>
    </row>
    <row r="73" spans="1:19" ht="60" customHeight="1" x14ac:dyDescent="0.3">
      <c r="A73" s="68">
        <f t="shared" si="3"/>
        <v>59</v>
      </c>
      <c r="B73" s="68">
        <v>7</v>
      </c>
      <c r="C73" s="68" t="s">
        <v>54</v>
      </c>
      <c r="D73" s="68" t="s">
        <v>17</v>
      </c>
      <c r="E73" s="69" t="s">
        <v>420</v>
      </c>
      <c r="F73" s="69" t="s">
        <v>396</v>
      </c>
      <c r="G73" s="69" t="s">
        <v>240</v>
      </c>
      <c r="H73" s="69" t="s">
        <v>241</v>
      </c>
      <c r="I73" s="69" t="s">
        <v>377</v>
      </c>
      <c r="J73" s="68"/>
      <c r="K73" s="68"/>
      <c r="L73" s="68" t="s">
        <v>18</v>
      </c>
      <c r="M73" s="68" t="s">
        <v>213</v>
      </c>
      <c r="N73" s="68"/>
      <c r="O73" s="68" t="s">
        <v>213</v>
      </c>
      <c r="P73" s="68" t="s">
        <v>213</v>
      </c>
      <c r="Q73" s="68" t="s">
        <v>214</v>
      </c>
      <c r="R73" s="68" t="s">
        <v>70</v>
      </c>
      <c r="S73" s="68" t="s">
        <v>421</v>
      </c>
    </row>
    <row r="74" spans="1:19" ht="60" customHeight="1" x14ac:dyDescent="0.3">
      <c r="A74" s="70">
        <f t="shared" si="3"/>
        <v>60</v>
      </c>
      <c r="B74" s="70">
        <v>7</v>
      </c>
      <c r="C74" s="71" t="s">
        <v>16</v>
      </c>
      <c r="D74" s="71" t="s">
        <v>17</v>
      </c>
      <c r="E74" s="72" t="s">
        <v>422</v>
      </c>
      <c r="F74" s="72" t="s">
        <v>396</v>
      </c>
      <c r="G74" s="72" t="s">
        <v>210</v>
      </c>
      <c r="H74" s="72" t="s">
        <v>211</v>
      </c>
      <c r="I74" s="72" t="s">
        <v>423</v>
      </c>
      <c r="J74" s="70"/>
      <c r="K74" s="70"/>
      <c r="L74" s="71" t="s">
        <v>18</v>
      </c>
      <c r="M74" s="70" t="s">
        <v>213</v>
      </c>
      <c r="N74" s="70"/>
      <c r="O74" s="70" t="s">
        <v>213</v>
      </c>
      <c r="P74" s="70" t="s">
        <v>213</v>
      </c>
      <c r="Q74" s="70" t="s">
        <v>214</v>
      </c>
      <c r="R74" s="70" t="s">
        <v>70</v>
      </c>
      <c r="S74" s="70" t="s">
        <v>424</v>
      </c>
    </row>
    <row r="75" spans="1:19" ht="60" customHeight="1" x14ac:dyDescent="0.3">
      <c r="A75" s="68">
        <f t="shared" si="3"/>
        <v>61</v>
      </c>
      <c r="B75" s="68">
        <v>7</v>
      </c>
      <c r="C75" s="68" t="s">
        <v>16</v>
      </c>
      <c r="D75" s="68" t="s">
        <v>17</v>
      </c>
      <c r="E75" s="69" t="s">
        <v>425</v>
      </c>
      <c r="F75" s="69" t="s">
        <v>396</v>
      </c>
      <c r="G75" s="69" t="s">
        <v>292</v>
      </c>
      <c r="H75" s="69" t="s">
        <v>293</v>
      </c>
      <c r="I75" s="69" t="s">
        <v>426</v>
      </c>
      <c r="J75" s="68"/>
      <c r="K75" s="68"/>
      <c r="L75" s="68" t="s">
        <v>18</v>
      </c>
      <c r="M75" s="68" t="s">
        <v>213</v>
      </c>
      <c r="N75" s="68"/>
      <c r="O75" s="68" t="s">
        <v>213</v>
      </c>
      <c r="P75" s="68" t="s">
        <v>213</v>
      </c>
      <c r="Q75" s="68" t="s">
        <v>214</v>
      </c>
      <c r="R75" s="68" t="s">
        <v>70</v>
      </c>
      <c r="S75" s="68" t="s">
        <v>427</v>
      </c>
    </row>
    <row r="76" spans="1:19" ht="60" customHeight="1" x14ac:dyDescent="0.3">
      <c r="A76" s="70">
        <f t="shared" si="3"/>
        <v>62</v>
      </c>
      <c r="B76" s="70">
        <v>7</v>
      </c>
      <c r="C76" s="71" t="s">
        <v>344</v>
      </c>
      <c r="D76" s="71" t="s">
        <v>17</v>
      </c>
      <c r="E76" s="72" t="s">
        <v>428</v>
      </c>
      <c r="F76" s="72" t="s">
        <v>396</v>
      </c>
      <c r="G76" s="72" t="s">
        <v>346</v>
      </c>
      <c r="H76" s="72" t="s">
        <v>347</v>
      </c>
      <c r="I76" s="72" t="s">
        <v>389</v>
      </c>
      <c r="J76" s="70"/>
      <c r="K76" s="70"/>
      <c r="L76" s="71" t="s">
        <v>18</v>
      </c>
      <c r="M76" s="70" t="s">
        <v>213</v>
      </c>
      <c r="N76" s="70"/>
      <c r="O76" s="70" t="s">
        <v>213</v>
      </c>
      <c r="P76" s="70" t="s">
        <v>213</v>
      </c>
      <c r="Q76" s="70" t="s">
        <v>214</v>
      </c>
      <c r="R76" s="70" t="s">
        <v>70</v>
      </c>
      <c r="S76" s="70" t="s">
        <v>429</v>
      </c>
    </row>
    <row r="77" spans="1:19" ht="60" customHeight="1" x14ac:dyDescent="0.3">
      <c r="A77" s="68">
        <f t="shared" si="3"/>
        <v>63</v>
      </c>
      <c r="B77" s="68">
        <v>7</v>
      </c>
      <c r="C77" s="68" t="s">
        <v>16</v>
      </c>
      <c r="D77" s="68" t="s">
        <v>17</v>
      </c>
      <c r="E77" s="69" t="s">
        <v>430</v>
      </c>
      <c r="F77" s="69" t="s">
        <v>396</v>
      </c>
      <c r="G77" s="69" t="s">
        <v>210</v>
      </c>
      <c r="H77" s="69" t="s">
        <v>211</v>
      </c>
      <c r="I77" s="69" t="s">
        <v>431</v>
      </c>
      <c r="J77" s="68"/>
      <c r="K77" s="68"/>
      <c r="L77" s="68" t="s">
        <v>18</v>
      </c>
      <c r="M77" s="68" t="s">
        <v>213</v>
      </c>
      <c r="N77" s="68"/>
      <c r="O77" s="68" t="s">
        <v>213</v>
      </c>
      <c r="P77" s="68" t="s">
        <v>213</v>
      </c>
      <c r="Q77" s="68" t="s">
        <v>214</v>
      </c>
      <c r="R77" s="68" t="s">
        <v>70</v>
      </c>
      <c r="S77" s="68" t="s">
        <v>432</v>
      </c>
    </row>
    <row r="78" spans="1:19" ht="19.5" customHeight="1" x14ac:dyDescent="0.3">
      <c r="A78" s="6" t="s">
        <v>433</v>
      </c>
      <c r="B78" s="6"/>
      <c r="C78" s="6"/>
      <c r="D78" s="6"/>
      <c r="E78" s="6"/>
      <c r="F78" s="6"/>
      <c r="G78" s="6"/>
      <c r="H78" s="6"/>
      <c r="I78" s="6"/>
      <c r="J78" s="6"/>
      <c r="K78" s="6"/>
      <c r="L78" s="6"/>
      <c r="M78" s="6"/>
      <c r="N78" s="6"/>
      <c r="O78" s="6"/>
      <c r="P78" s="6"/>
      <c r="Q78" s="6"/>
      <c r="R78" s="5"/>
      <c r="S78" s="5"/>
    </row>
    <row r="79" spans="1:19" ht="60" customHeight="1" x14ac:dyDescent="0.3">
      <c r="A79" s="70">
        <f>A77+1</f>
        <v>64</v>
      </c>
      <c r="B79" s="70">
        <v>8</v>
      </c>
      <c r="C79" s="71" t="s">
        <v>16</v>
      </c>
      <c r="D79" s="71" t="s">
        <v>17</v>
      </c>
      <c r="E79" s="72" t="s">
        <v>434</v>
      </c>
      <c r="F79" s="72" t="s">
        <v>435</v>
      </c>
      <c r="G79" s="72" t="s">
        <v>210</v>
      </c>
      <c r="H79" s="72" t="s">
        <v>211</v>
      </c>
      <c r="I79" s="72" t="s">
        <v>436</v>
      </c>
      <c r="J79" s="70"/>
      <c r="K79" s="70"/>
      <c r="L79" s="71" t="s">
        <v>18</v>
      </c>
      <c r="M79" s="70" t="s">
        <v>213</v>
      </c>
      <c r="N79" s="70"/>
      <c r="O79" s="70" t="s">
        <v>213</v>
      </c>
      <c r="P79" s="70" t="s">
        <v>213</v>
      </c>
      <c r="Q79" s="70" t="s">
        <v>214</v>
      </c>
      <c r="R79" s="70" t="s">
        <v>75</v>
      </c>
      <c r="S79" s="70" t="s">
        <v>437</v>
      </c>
    </row>
    <row r="80" spans="1:19" ht="60" customHeight="1" x14ac:dyDescent="0.3">
      <c r="A80" s="68">
        <f t="shared" ref="A80:A85" si="4">A79+1</f>
        <v>65</v>
      </c>
      <c r="B80" s="68">
        <v>8</v>
      </c>
      <c r="C80" s="68" t="s">
        <v>226</v>
      </c>
      <c r="D80" s="68" t="s">
        <v>17</v>
      </c>
      <c r="E80" s="69" t="s">
        <v>438</v>
      </c>
      <c r="F80" s="69" t="s">
        <v>435</v>
      </c>
      <c r="G80" s="69" t="s">
        <v>228</v>
      </c>
      <c r="H80" s="69" t="s">
        <v>229</v>
      </c>
      <c r="I80" s="69" t="s">
        <v>439</v>
      </c>
      <c r="J80" s="68"/>
      <c r="K80" s="68"/>
      <c r="L80" s="68" t="s">
        <v>18</v>
      </c>
      <c r="M80" s="68" t="s">
        <v>213</v>
      </c>
      <c r="N80" s="68"/>
      <c r="O80" s="68" t="s">
        <v>213</v>
      </c>
      <c r="P80" s="68" t="s">
        <v>213</v>
      </c>
      <c r="Q80" s="68" t="s">
        <v>214</v>
      </c>
      <c r="R80" s="68" t="s">
        <v>75</v>
      </c>
      <c r="S80" s="68" t="s">
        <v>440</v>
      </c>
    </row>
    <row r="81" spans="1:19" ht="60" customHeight="1" x14ac:dyDescent="0.3">
      <c r="A81" s="70">
        <f t="shared" si="4"/>
        <v>66</v>
      </c>
      <c r="B81" s="70">
        <v>8</v>
      </c>
      <c r="C81" s="71" t="s">
        <v>226</v>
      </c>
      <c r="D81" s="71" t="s">
        <v>17</v>
      </c>
      <c r="E81" s="72" t="s">
        <v>441</v>
      </c>
      <c r="F81" s="72" t="s">
        <v>435</v>
      </c>
      <c r="G81" s="72" t="s">
        <v>228</v>
      </c>
      <c r="H81" s="72" t="s">
        <v>229</v>
      </c>
      <c r="I81" s="72" t="s">
        <v>442</v>
      </c>
      <c r="J81" s="70"/>
      <c r="K81" s="70"/>
      <c r="L81" s="71" t="s">
        <v>18</v>
      </c>
      <c r="M81" s="70" t="s">
        <v>213</v>
      </c>
      <c r="N81" s="70"/>
      <c r="O81" s="70" t="s">
        <v>213</v>
      </c>
      <c r="P81" s="70" t="s">
        <v>213</v>
      </c>
      <c r="Q81" s="70" t="s">
        <v>214</v>
      </c>
      <c r="R81" s="70" t="s">
        <v>80</v>
      </c>
      <c r="S81" s="70" t="s">
        <v>443</v>
      </c>
    </row>
    <row r="82" spans="1:19" ht="60" customHeight="1" x14ac:dyDescent="0.3">
      <c r="A82" s="68">
        <f t="shared" si="4"/>
        <v>67</v>
      </c>
      <c r="B82" s="68">
        <v>8</v>
      </c>
      <c r="C82" s="68" t="s">
        <v>226</v>
      </c>
      <c r="D82" s="68" t="s">
        <v>17</v>
      </c>
      <c r="E82" s="69" t="s">
        <v>444</v>
      </c>
      <c r="F82" s="69" t="s">
        <v>435</v>
      </c>
      <c r="G82" s="69" t="s">
        <v>228</v>
      </c>
      <c r="H82" s="69" t="s">
        <v>229</v>
      </c>
      <c r="I82" s="69" t="s">
        <v>445</v>
      </c>
      <c r="J82" s="68"/>
      <c r="K82" s="68"/>
      <c r="L82" s="68" t="s">
        <v>18</v>
      </c>
      <c r="M82" s="68" t="s">
        <v>213</v>
      </c>
      <c r="N82" s="68"/>
      <c r="O82" s="68" t="s">
        <v>213</v>
      </c>
      <c r="P82" s="68" t="s">
        <v>213</v>
      </c>
      <c r="Q82" s="68" t="s">
        <v>214</v>
      </c>
      <c r="R82" s="68" t="s">
        <v>80</v>
      </c>
      <c r="S82" s="68" t="s">
        <v>446</v>
      </c>
    </row>
    <row r="83" spans="1:19" ht="60" customHeight="1" x14ac:dyDescent="0.3">
      <c r="A83" s="70">
        <f t="shared" si="4"/>
        <v>68</v>
      </c>
      <c r="B83" s="70">
        <v>8</v>
      </c>
      <c r="C83" s="71" t="s">
        <v>226</v>
      </c>
      <c r="D83" s="71" t="s">
        <v>17</v>
      </c>
      <c r="E83" s="72" t="s">
        <v>447</v>
      </c>
      <c r="F83" s="72" t="s">
        <v>435</v>
      </c>
      <c r="G83" s="72" t="s">
        <v>228</v>
      </c>
      <c r="H83" s="72" t="s">
        <v>229</v>
      </c>
      <c r="I83" s="72" t="s">
        <v>448</v>
      </c>
      <c r="J83" s="70"/>
      <c r="K83" s="70"/>
      <c r="L83" s="71" t="s">
        <v>18</v>
      </c>
      <c r="M83" s="70" t="s">
        <v>213</v>
      </c>
      <c r="N83" s="70"/>
      <c r="O83" s="70" t="s">
        <v>213</v>
      </c>
      <c r="P83" s="70" t="s">
        <v>213</v>
      </c>
      <c r="Q83" s="70" t="s">
        <v>214</v>
      </c>
      <c r="R83" s="70" t="s">
        <v>85</v>
      </c>
      <c r="S83" s="70" t="s">
        <v>86</v>
      </c>
    </row>
    <row r="84" spans="1:19" ht="60" customHeight="1" x14ac:dyDescent="0.3">
      <c r="A84" s="68">
        <f t="shared" si="4"/>
        <v>69</v>
      </c>
      <c r="B84" s="68">
        <v>8</v>
      </c>
      <c r="C84" s="68" t="s">
        <v>54</v>
      </c>
      <c r="D84" s="68" t="s">
        <v>17</v>
      </c>
      <c r="E84" s="69" t="s">
        <v>449</v>
      </c>
      <c r="F84" s="69" t="s">
        <v>435</v>
      </c>
      <c r="G84" s="69" t="s">
        <v>263</v>
      </c>
      <c r="H84" s="69" t="s">
        <v>264</v>
      </c>
      <c r="I84" s="69" t="s">
        <v>450</v>
      </c>
      <c r="J84" s="68"/>
      <c r="K84" s="68"/>
      <c r="L84" s="68" t="s">
        <v>18</v>
      </c>
      <c r="M84" s="68" t="s">
        <v>213</v>
      </c>
      <c r="N84" s="68"/>
      <c r="O84" s="68" t="s">
        <v>213</v>
      </c>
      <c r="P84" s="68" t="s">
        <v>213</v>
      </c>
      <c r="Q84" s="68" t="s">
        <v>214</v>
      </c>
      <c r="R84" s="68" t="s">
        <v>75</v>
      </c>
      <c r="S84" s="68" t="s">
        <v>451</v>
      </c>
    </row>
    <row r="85" spans="1:19" ht="60" customHeight="1" x14ac:dyDescent="0.3">
      <c r="A85" s="70">
        <f t="shared" si="4"/>
        <v>70</v>
      </c>
      <c r="B85" s="70">
        <v>8</v>
      </c>
      <c r="C85" s="71" t="s">
        <v>54</v>
      </c>
      <c r="D85" s="71" t="s">
        <v>17</v>
      </c>
      <c r="E85" s="72" t="s">
        <v>452</v>
      </c>
      <c r="F85" s="72" t="s">
        <v>435</v>
      </c>
      <c r="G85" s="72" t="s">
        <v>263</v>
      </c>
      <c r="H85" s="72" t="s">
        <v>264</v>
      </c>
      <c r="I85" s="72" t="s">
        <v>453</v>
      </c>
      <c r="J85" s="70"/>
      <c r="K85" s="70"/>
      <c r="L85" s="71" t="s">
        <v>18</v>
      </c>
      <c r="M85" s="70" t="s">
        <v>213</v>
      </c>
      <c r="N85" s="70"/>
      <c r="O85" s="70" t="s">
        <v>213</v>
      </c>
      <c r="P85" s="70" t="s">
        <v>213</v>
      </c>
      <c r="Q85" s="70" t="s">
        <v>214</v>
      </c>
      <c r="R85" s="70" t="s">
        <v>75</v>
      </c>
      <c r="S85" s="70" t="s">
        <v>454</v>
      </c>
    </row>
    <row r="86" spans="1:19" ht="19.5" customHeight="1" x14ac:dyDescent="0.3">
      <c r="A86" s="6" t="s">
        <v>455</v>
      </c>
      <c r="B86" s="6"/>
      <c r="C86" s="6"/>
      <c r="D86" s="6"/>
      <c r="E86" s="6"/>
      <c r="F86" s="6"/>
      <c r="G86" s="6"/>
      <c r="H86" s="6"/>
      <c r="I86" s="6"/>
      <c r="J86" s="6"/>
      <c r="K86" s="6"/>
      <c r="L86" s="6"/>
      <c r="M86" s="6"/>
      <c r="N86" s="6"/>
      <c r="O86" s="6"/>
      <c r="P86" s="6"/>
      <c r="Q86" s="6"/>
      <c r="R86" s="5"/>
      <c r="S86" s="5"/>
    </row>
    <row r="87" spans="1:19" ht="60" customHeight="1" x14ac:dyDescent="0.3">
      <c r="A87" s="68">
        <f>A85+1</f>
        <v>71</v>
      </c>
      <c r="B87" s="68">
        <v>9</v>
      </c>
      <c r="C87" s="68" t="s">
        <v>54</v>
      </c>
      <c r="D87" s="68" t="s">
        <v>17</v>
      </c>
      <c r="E87" s="69" t="s">
        <v>456</v>
      </c>
      <c r="F87" s="69" t="s">
        <v>457</v>
      </c>
      <c r="G87" s="69" t="s">
        <v>263</v>
      </c>
      <c r="H87" s="69" t="s">
        <v>264</v>
      </c>
      <c r="I87" s="69" t="s">
        <v>458</v>
      </c>
      <c r="J87" s="68"/>
      <c r="K87" s="68"/>
      <c r="L87" s="68" t="s">
        <v>18</v>
      </c>
      <c r="M87" s="68" t="s">
        <v>213</v>
      </c>
      <c r="N87" s="68"/>
      <c r="O87" s="68" t="s">
        <v>213</v>
      </c>
      <c r="P87" s="68" t="s">
        <v>213</v>
      </c>
      <c r="Q87" s="68" t="s">
        <v>214</v>
      </c>
      <c r="R87" s="68" t="s">
        <v>90</v>
      </c>
      <c r="S87" s="68" t="s">
        <v>459</v>
      </c>
    </row>
    <row r="88" spans="1:19" ht="60" customHeight="1" x14ac:dyDescent="0.3">
      <c r="A88" s="70">
        <f t="shared" ref="A88:A98" si="5">A87+1</f>
        <v>72</v>
      </c>
      <c r="B88" s="70">
        <v>9</v>
      </c>
      <c r="C88" s="71" t="s">
        <v>54</v>
      </c>
      <c r="D88" s="71" t="s">
        <v>17</v>
      </c>
      <c r="E88" s="72" t="s">
        <v>460</v>
      </c>
      <c r="F88" s="72" t="s">
        <v>457</v>
      </c>
      <c r="G88" s="72" t="s">
        <v>263</v>
      </c>
      <c r="H88" s="72" t="s">
        <v>264</v>
      </c>
      <c r="I88" s="72" t="s">
        <v>461</v>
      </c>
      <c r="J88" s="70"/>
      <c r="K88" s="70"/>
      <c r="L88" s="71" t="s">
        <v>18</v>
      </c>
      <c r="M88" s="70" t="s">
        <v>213</v>
      </c>
      <c r="N88" s="70"/>
      <c r="O88" s="70" t="s">
        <v>213</v>
      </c>
      <c r="P88" s="70" t="s">
        <v>213</v>
      </c>
      <c r="Q88" s="70" t="s">
        <v>214</v>
      </c>
      <c r="R88" s="70" t="s">
        <v>90</v>
      </c>
      <c r="S88" s="70" t="s">
        <v>462</v>
      </c>
    </row>
    <row r="89" spans="1:19" ht="60" customHeight="1" x14ac:dyDescent="0.3">
      <c r="A89" s="68">
        <f t="shared" si="5"/>
        <v>73</v>
      </c>
      <c r="B89" s="68">
        <v>9</v>
      </c>
      <c r="C89" s="68" t="s">
        <v>54</v>
      </c>
      <c r="D89" s="68" t="s">
        <v>17</v>
      </c>
      <c r="E89" s="69" t="s">
        <v>463</v>
      </c>
      <c r="F89" s="69" t="s">
        <v>457</v>
      </c>
      <c r="G89" s="69" t="s">
        <v>263</v>
      </c>
      <c r="H89" s="69" t="s">
        <v>264</v>
      </c>
      <c r="I89" s="69" t="s">
        <v>464</v>
      </c>
      <c r="J89" s="68"/>
      <c r="K89" s="68"/>
      <c r="L89" s="68" t="s">
        <v>18</v>
      </c>
      <c r="M89" s="68" t="s">
        <v>213</v>
      </c>
      <c r="N89" s="68"/>
      <c r="O89" s="68" t="s">
        <v>213</v>
      </c>
      <c r="P89" s="68" t="s">
        <v>213</v>
      </c>
      <c r="Q89" s="68" t="s">
        <v>214</v>
      </c>
      <c r="R89" s="68" t="s">
        <v>90</v>
      </c>
      <c r="S89" s="68" t="s">
        <v>465</v>
      </c>
    </row>
    <row r="90" spans="1:19" ht="60" customHeight="1" x14ac:dyDescent="0.3">
      <c r="A90" s="70">
        <f t="shared" si="5"/>
        <v>74</v>
      </c>
      <c r="B90" s="70">
        <v>9</v>
      </c>
      <c r="C90" s="71" t="s">
        <v>16</v>
      </c>
      <c r="D90" s="71" t="s">
        <v>17</v>
      </c>
      <c r="E90" s="72" t="s">
        <v>466</v>
      </c>
      <c r="F90" s="72" t="s">
        <v>457</v>
      </c>
      <c r="G90" s="72" t="s">
        <v>292</v>
      </c>
      <c r="H90" s="72" t="s">
        <v>305</v>
      </c>
      <c r="I90" s="72" t="s">
        <v>467</v>
      </c>
      <c r="J90" s="70"/>
      <c r="K90" s="70"/>
      <c r="L90" s="71" t="s">
        <v>18</v>
      </c>
      <c r="M90" s="70" t="s">
        <v>213</v>
      </c>
      <c r="N90" s="70"/>
      <c r="O90" s="70" t="s">
        <v>213</v>
      </c>
      <c r="P90" s="70" t="s">
        <v>213</v>
      </c>
      <c r="Q90" s="70" t="s">
        <v>214</v>
      </c>
      <c r="R90" s="70" t="s">
        <v>90</v>
      </c>
      <c r="S90" s="70" t="s">
        <v>468</v>
      </c>
    </row>
    <row r="91" spans="1:19" ht="60" customHeight="1" x14ac:dyDescent="0.3">
      <c r="A91" s="68">
        <f t="shared" si="5"/>
        <v>75</v>
      </c>
      <c r="B91" s="68">
        <v>9</v>
      </c>
      <c r="C91" s="68" t="s">
        <v>16</v>
      </c>
      <c r="D91" s="68" t="s">
        <v>17</v>
      </c>
      <c r="E91" s="69" t="s">
        <v>469</v>
      </c>
      <c r="F91" s="69" t="s">
        <v>457</v>
      </c>
      <c r="G91" s="69" t="s">
        <v>292</v>
      </c>
      <c r="H91" s="69" t="s">
        <v>305</v>
      </c>
      <c r="I91" s="69" t="s">
        <v>470</v>
      </c>
      <c r="J91" s="68"/>
      <c r="K91" s="68"/>
      <c r="L91" s="68" t="s">
        <v>18</v>
      </c>
      <c r="M91" s="68" t="s">
        <v>213</v>
      </c>
      <c r="N91" s="68"/>
      <c r="O91" s="68" t="s">
        <v>213</v>
      </c>
      <c r="P91" s="68" t="s">
        <v>213</v>
      </c>
      <c r="Q91" s="68" t="s">
        <v>214</v>
      </c>
      <c r="R91" s="68" t="s">
        <v>90</v>
      </c>
      <c r="S91" s="68" t="s">
        <v>471</v>
      </c>
    </row>
    <row r="92" spans="1:19" ht="60" customHeight="1" x14ac:dyDescent="0.3">
      <c r="A92" s="70">
        <f t="shared" si="5"/>
        <v>76</v>
      </c>
      <c r="B92" s="70">
        <v>9</v>
      </c>
      <c r="C92" s="71" t="s">
        <v>16</v>
      </c>
      <c r="D92" s="71" t="s">
        <v>17</v>
      </c>
      <c r="E92" s="72" t="s">
        <v>472</v>
      </c>
      <c r="F92" s="72" t="s">
        <v>457</v>
      </c>
      <c r="G92" s="72" t="s">
        <v>315</v>
      </c>
      <c r="H92" s="72" t="s">
        <v>316</v>
      </c>
      <c r="I92" s="72" t="s">
        <v>473</v>
      </c>
      <c r="J92" s="70"/>
      <c r="K92" s="70"/>
      <c r="L92" s="71" t="s">
        <v>18</v>
      </c>
      <c r="M92" s="70" t="s">
        <v>213</v>
      </c>
      <c r="N92" s="70"/>
      <c r="O92" s="70" t="s">
        <v>213</v>
      </c>
      <c r="P92" s="70" t="s">
        <v>213</v>
      </c>
      <c r="Q92" s="70" t="s">
        <v>214</v>
      </c>
      <c r="R92" s="70" t="s">
        <v>90</v>
      </c>
      <c r="S92" s="70" t="s">
        <v>474</v>
      </c>
    </row>
    <row r="93" spans="1:19" ht="60" customHeight="1" x14ac:dyDescent="0.3">
      <c r="A93" s="68">
        <f t="shared" si="5"/>
        <v>77</v>
      </c>
      <c r="B93" s="68">
        <v>9</v>
      </c>
      <c r="C93" s="68" t="s">
        <v>16</v>
      </c>
      <c r="D93" s="68" t="s">
        <v>17</v>
      </c>
      <c r="E93" s="69" t="s">
        <v>475</v>
      </c>
      <c r="F93" s="69" t="s">
        <v>457</v>
      </c>
      <c r="G93" s="69" t="s">
        <v>221</v>
      </c>
      <c r="H93" s="69" t="s">
        <v>222</v>
      </c>
      <c r="I93" s="69" t="s">
        <v>476</v>
      </c>
      <c r="J93" s="68"/>
      <c r="K93" s="68"/>
      <c r="L93" s="68" t="s">
        <v>18</v>
      </c>
      <c r="M93" s="68" t="s">
        <v>213</v>
      </c>
      <c r="N93" s="68"/>
      <c r="O93" s="68" t="s">
        <v>213</v>
      </c>
      <c r="P93" s="68" t="s">
        <v>213</v>
      </c>
      <c r="Q93" s="68" t="s">
        <v>214</v>
      </c>
      <c r="R93" s="68" t="s">
        <v>90</v>
      </c>
      <c r="S93" s="68" t="s">
        <v>477</v>
      </c>
    </row>
    <row r="94" spans="1:19" ht="60" customHeight="1" x14ac:dyDescent="0.3">
      <c r="A94" s="70">
        <f t="shared" si="5"/>
        <v>78</v>
      </c>
      <c r="B94" s="70">
        <v>9</v>
      </c>
      <c r="C94" s="71" t="s">
        <v>54</v>
      </c>
      <c r="D94" s="71" t="s">
        <v>17</v>
      </c>
      <c r="E94" s="72" t="s">
        <v>478</v>
      </c>
      <c r="F94" s="72" t="s">
        <v>457</v>
      </c>
      <c r="G94" s="72" t="s">
        <v>328</v>
      </c>
      <c r="H94" s="72" t="s">
        <v>479</v>
      </c>
      <c r="I94" s="72" t="s">
        <v>480</v>
      </c>
      <c r="J94" s="70"/>
      <c r="K94" s="70"/>
      <c r="L94" s="71" t="s">
        <v>18</v>
      </c>
      <c r="M94" s="70" t="s">
        <v>213</v>
      </c>
      <c r="N94" s="70"/>
      <c r="O94" s="70" t="s">
        <v>213</v>
      </c>
      <c r="P94" s="70" t="s">
        <v>213</v>
      </c>
      <c r="Q94" s="70" t="s">
        <v>214</v>
      </c>
      <c r="R94" s="70" t="s">
        <v>90</v>
      </c>
      <c r="S94" s="70" t="s">
        <v>481</v>
      </c>
    </row>
    <row r="95" spans="1:19" ht="60" customHeight="1" x14ac:dyDescent="0.3">
      <c r="A95" s="68">
        <f t="shared" si="5"/>
        <v>79</v>
      </c>
      <c r="B95" s="68">
        <v>9</v>
      </c>
      <c r="C95" s="68" t="s">
        <v>54</v>
      </c>
      <c r="D95" s="68" t="s">
        <v>17</v>
      </c>
      <c r="E95" s="69" t="s">
        <v>482</v>
      </c>
      <c r="F95" s="69" t="s">
        <v>457</v>
      </c>
      <c r="G95" s="69" t="s">
        <v>323</v>
      </c>
      <c r="H95" s="69" t="s">
        <v>324</v>
      </c>
      <c r="I95" s="69" t="s">
        <v>483</v>
      </c>
      <c r="J95" s="68"/>
      <c r="K95" s="68"/>
      <c r="L95" s="68" t="s">
        <v>18</v>
      </c>
      <c r="M95" s="68" t="s">
        <v>213</v>
      </c>
      <c r="N95" s="68"/>
      <c r="O95" s="68" t="s">
        <v>213</v>
      </c>
      <c r="P95" s="68" t="s">
        <v>213</v>
      </c>
      <c r="Q95" s="68" t="s">
        <v>214</v>
      </c>
      <c r="R95" s="68" t="s">
        <v>90</v>
      </c>
      <c r="S95" s="68" t="s">
        <v>484</v>
      </c>
    </row>
    <row r="96" spans="1:19" ht="60" customHeight="1" x14ac:dyDescent="0.3">
      <c r="A96" s="70">
        <f t="shared" si="5"/>
        <v>80</v>
      </c>
      <c r="B96" s="70">
        <v>9</v>
      </c>
      <c r="C96" s="71" t="s">
        <v>54</v>
      </c>
      <c r="D96" s="71" t="s">
        <v>17</v>
      </c>
      <c r="E96" s="72" t="s">
        <v>485</v>
      </c>
      <c r="F96" s="72" t="s">
        <v>457</v>
      </c>
      <c r="G96" s="72" t="s">
        <v>328</v>
      </c>
      <c r="H96" s="72" t="s">
        <v>329</v>
      </c>
      <c r="I96" s="72" t="s">
        <v>486</v>
      </c>
      <c r="J96" s="70"/>
      <c r="K96" s="70"/>
      <c r="L96" s="71" t="s">
        <v>18</v>
      </c>
      <c r="M96" s="70" t="s">
        <v>213</v>
      </c>
      <c r="N96" s="70"/>
      <c r="O96" s="70" t="s">
        <v>213</v>
      </c>
      <c r="P96" s="70" t="s">
        <v>213</v>
      </c>
      <c r="Q96" s="70" t="s">
        <v>214</v>
      </c>
      <c r="R96" s="70" t="s">
        <v>90</v>
      </c>
      <c r="S96" s="70" t="s">
        <v>487</v>
      </c>
    </row>
    <row r="97" spans="1:19" ht="60" customHeight="1" x14ac:dyDescent="0.3">
      <c r="A97" s="68">
        <f t="shared" si="5"/>
        <v>81</v>
      </c>
      <c r="B97" s="68">
        <v>9</v>
      </c>
      <c r="C97" s="68" t="s">
        <v>16</v>
      </c>
      <c r="D97" s="68" t="s">
        <v>17</v>
      </c>
      <c r="E97" s="69" t="s">
        <v>488</v>
      </c>
      <c r="F97" s="69" t="s">
        <v>457</v>
      </c>
      <c r="G97" s="69" t="s">
        <v>292</v>
      </c>
      <c r="H97" s="69" t="s">
        <v>293</v>
      </c>
      <c r="I97" s="69" t="s">
        <v>489</v>
      </c>
      <c r="J97" s="68"/>
      <c r="K97" s="68"/>
      <c r="L97" s="68" t="s">
        <v>18</v>
      </c>
      <c r="M97" s="68" t="s">
        <v>213</v>
      </c>
      <c r="N97" s="68"/>
      <c r="O97" s="68" t="s">
        <v>213</v>
      </c>
      <c r="P97" s="68" t="s">
        <v>213</v>
      </c>
      <c r="Q97" s="68" t="s">
        <v>214</v>
      </c>
      <c r="R97" s="68" t="s">
        <v>90</v>
      </c>
      <c r="S97" s="68" t="s">
        <v>490</v>
      </c>
    </row>
    <row r="98" spans="1:19" ht="60" customHeight="1" x14ac:dyDescent="0.3">
      <c r="A98" s="70">
        <f t="shared" si="5"/>
        <v>82</v>
      </c>
      <c r="B98" s="70">
        <v>9</v>
      </c>
      <c r="C98" s="71" t="s">
        <v>344</v>
      </c>
      <c r="D98" s="71" t="s">
        <v>17</v>
      </c>
      <c r="E98" s="72" t="s">
        <v>491</v>
      </c>
      <c r="F98" s="72" t="s">
        <v>457</v>
      </c>
      <c r="G98" s="72" t="s">
        <v>346</v>
      </c>
      <c r="H98" s="72" t="s">
        <v>347</v>
      </c>
      <c r="I98" s="72" t="s">
        <v>492</v>
      </c>
      <c r="J98" s="70"/>
      <c r="K98" s="70"/>
      <c r="L98" s="71" t="s">
        <v>18</v>
      </c>
      <c r="M98" s="70" t="s">
        <v>213</v>
      </c>
      <c r="N98" s="70"/>
      <c r="O98" s="70" t="s">
        <v>213</v>
      </c>
      <c r="P98" s="70" t="s">
        <v>213</v>
      </c>
      <c r="Q98" s="70" t="s">
        <v>214</v>
      </c>
      <c r="R98" s="70" t="s">
        <v>90</v>
      </c>
      <c r="S98" s="70" t="s">
        <v>493</v>
      </c>
    </row>
    <row r="99" spans="1:19" ht="19.5" customHeight="1" x14ac:dyDescent="0.3">
      <c r="A99" s="6" t="s">
        <v>494</v>
      </c>
      <c r="B99" s="6"/>
      <c r="C99" s="6"/>
      <c r="D99" s="6"/>
      <c r="E99" s="6"/>
      <c r="F99" s="6"/>
      <c r="G99" s="6"/>
      <c r="H99" s="6"/>
      <c r="I99" s="6"/>
      <c r="J99" s="6"/>
      <c r="K99" s="6"/>
      <c r="L99" s="6"/>
      <c r="M99" s="6"/>
      <c r="N99" s="6"/>
      <c r="O99" s="6"/>
      <c r="P99" s="6"/>
      <c r="Q99" s="6"/>
      <c r="R99" s="5"/>
      <c r="S99" s="5"/>
    </row>
    <row r="100" spans="1:19" ht="60" customHeight="1" x14ac:dyDescent="0.3">
      <c r="A100" s="68">
        <f>A98+1</f>
        <v>83</v>
      </c>
      <c r="B100" s="68">
        <v>10</v>
      </c>
      <c r="C100" s="68" t="s">
        <v>16</v>
      </c>
      <c r="D100" s="68" t="s">
        <v>17</v>
      </c>
      <c r="E100" s="69" t="s">
        <v>495</v>
      </c>
      <c r="F100" s="69" t="s">
        <v>496</v>
      </c>
      <c r="G100" s="69" t="s">
        <v>292</v>
      </c>
      <c r="H100" s="69" t="s">
        <v>305</v>
      </c>
      <c r="I100" s="69" t="s">
        <v>497</v>
      </c>
      <c r="J100" s="68"/>
      <c r="K100" s="68"/>
      <c r="L100" s="68" t="s">
        <v>18</v>
      </c>
      <c r="M100" s="68" t="s">
        <v>213</v>
      </c>
      <c r="N100" s="68"/>
      <c r="O100" s="68" t="s">
        <v>213</v>
      </c>
      <c r="P100" s="68" t="s">
        <v>213</v>
      </c>
      <c r="Q100" s="68" t="s">
        <v>214</v>
      </c>
      <c r="R100" s="68" t="s">
        <v>95</v>
      </c>
      <c r="S100" s="68" t="s">
        <v>498</v>
      </c>
    </row>
    <row r="101" spans="1:19" ht="60" customHeight="1" x14ac:dyDescent="0.3">
      <c r="A101" s="70">
        <f t="shared" ref="A101:A116" si="6">A100+1</f>
        <v>84</v>
      </c>
      <c r="B101" s="70">
        <v>10</v>
      </c>
      <c r="C101" s="71" t="s">
        <v>16</v>
      </c>
      <c r="D101" s="71" t="s">
        <v>17</v>
      </c>
      <c r="E101" s="72" t="s">
        <v>499</v>
      </c>
      <c r="F101" s="72" t="s">
        <v>496</v>
      </c>
      <c r="G101" s="72" t="s">
        <v>292</v>
      </c>
      <c r="H101" s="72" t="s">
        <v>305</v>
      </c>
      <c r="I101" s="72" t="s">
        <v>500</v>
      </c>
      <c r="J101" s="70"/>
      <c r="K101" s="70"/>
      <c r="L101" s="71" t="s">
        <v>18</v>
      </c>
      <c r="M101" s="70" t="s">
        <v>213</v>
      </c>
      <c r="N101" s="70"/>
      <c r="O101" s="70" t="s">
        <v>213</v>
      </c>
      <c r="P101" s="70" t="s">
        <v>213</v>
      </c>
      <c r="Q101" s="70" t="s">
        <v>214</v>
      </c>
      <c r="R101" s="70" t="s">
        <v>95</v>
      </c>
      <c r="S101" s="70" t="s">
        <v>501</v>
      </c>
    </row>
    <row r="102" spans="1:19" ht="60" customHeight="1" x14ac:dyDescent="0.3">
      <c r="A102" s="68">
        <f t="shared" si="6"/>
        <v>85</v>
      </c>
      <c r="B102" s="68">
        <v>10</v>
      </c>
      <c r="C102" s="68" t="s">
        <v>16</v>
      </c>
      <c r="D102" s="68" t="s">
        <v>17</v>
      </c>
      <c r="E102" s="69" t="s">
        <v>502</v>
      </c>
      <c r="F102" s="69" t="s">
        <v>496</v>
      </c>
      <c r="G102" s="69" t="s">
        <v>315</v>
      </c>
      <c r="H102" s="69" t="s">
        <v>316</v>
      </c>
      <c r="I102" s="69" t="s">
        <v>503</v>
      </c>
      <c r="J102" s="68"/>
      <c r="K102" s="68"/>
      <c r="L102" s="68" t="s">
        <v>18</v>
      </c>
      <c r="M102" s="68" t="s">
        <v>213</v>
      </c>
      <c r="N102" s="68"/>
      <c r="O102" s="68" t="s">
        <v>213</v>
      </c>
      <c r="P102" s="68" t="s">
        <v>213</v>
      </c>
      <c r="Q102" s="68" t="s">
        <v>214</v>
      </c>
      <c r="R102" s="68" t="s">
        <v>95</v>
      </c>
      <c r="S102" s="68" t="s">
        <v>504</v>
      </c>
    </row>
    <row r="103" spans="1:19" ht="60" customHeight="1" x14ac:dyDescent="0.3">
      <c r="A103" s="70">
        <f t="shared" si="6"/>
        <v>86</v>
      </c>
      <c r="B103" s="70">
        <v>10</v>
      </c>
      <c r="C103" s="71" t="s">
        <v>16</v>
      </c>
      <c r="D103" s="71" t="s">
        <v>17</v>
      </c>
      <c r="E103" s="72" t="s">
        <v>505</v>
      </c>
      <c r="F103" s="72" t="s">
        <v>496</v>
      </c>
      <c r="G103" s="72" t="s">
        <v>221</v>
      </c>
      <c r="H103" s="72" t="s">
        <v>222</v>
      </c>
      <c r="I103" s="72" t="s">
        <v>506</v>
      </c>
      <c r="J103" s="70"/>
      <c r="K103" s="70"/>
      <c r="L103" s="71" t="s">
        <v>18</v>
      </c>
      <c r="M103" s="70" t="s">
        <v>213</v>
      </c>
      <c r="N103" s="70"/>
      <c r="O103" s="70" t="s">
        <v>213</v>
      </c>
      <c r="P103" s="70" t="s">
        <v>213</v>
      </c>
      <c r="Q103" s="70" t="s">
        <v>214</v>
      </c>
      <c r="R103" s="70" t="s">
        <v>95</v>
      </c>
      <c r="S103" s="70" t="s">
        <v>507</v>
      </c>
    </row>
    <row r="104" spans="1:19" ht="60" customHeight="1" x14ac:dyDescent="0.3">
      <c r="A104" s="68">
        <f t="shared" si="6"/>
        <v>87</v>
      </c>
      <c r="B104" s="68">
        <v>10</v>
      </c>
      <c r="C104" s="68" t="s">
        <v>54</v>
      </c>
      <c r="D104" s="68" t="s">
        <v>17</v>
      </c>
      <c r="E104" s="69" t="s">
        <v>508</v>
      </c>
      <c r="F104" s="69" t="s">
        <v>496</v>
      </c>
      <c r="G104" s="69" t="s">
        <v>328</v>
      </c>
      <c r="H104" s="69" t="s">
        <v>479</v>
      </c>
      <c r="I104" s="69" t="s">
        <v>480</v>
      </c>
      <c r="J104" s="68"/>
      <c r="K104" s="68"/>
      <c r="L104" s="68" t="s">
        <v>18</v>
      </c>
      <c r="M104" s="68" t="s">
        <v>213</v>
      </c>
      <c r="N104" s="68"/>
      <c r="O104" s="68" t="s">
        <v>213</v>
      </c>
      <c r="P104" s="68" t="s">
        <v>213</v>
      </c>
      <c r="Q104" s="68" t="s">
        <v>214</v>
      </c>
      <c r="R104" s="68" t="s">
        <v>95</v>
      </c>
      <c r="S104" s="68" t="s">
        <v>509</v>
      </c>
    </row>
    <row r="105" spans="1:19" ht="60" customHeight="1" x14ac:dyDescent="0.3">
      <c r="A105" s="70">
        <f t="shared" si="6"/>
        <v>88</v>
      </c>
      <c r="B105" s="70">
        <v>10</v>
      </c>
      <c r="C105" s="71" t="s">
        <v>54</v>
      </c>
      <c r="D105" s="71" t="s">
        <v>17</v>
      </c>
      <c r="E105" s="72" t="s">
        <v>510</v>
      </c>
      <c r="F105" s="72" t="s">
        <v>496</v>
      </c>
      <c r="G105" s="72" t="s">
        <v>323</v>
      </c>
      <c r="H105" s="72" t="s">
        <v>324</v>
      </c>
      <c r="I105" s="72" t="s">
        <v>511</v>
      </c>
      <c r="J105" s="70"/>
      <c r="K105" s="70"/>
      <c r="L105" s="71" t="s">
        <v>18</v>
      </c>
      <c r="M105" s="70" t="s">
        <v>213</v>
      </c>
      <c r="N105" s="70"/>
      <c r="O105" s="70" t="s">
        <v>213</v>
      </c>
      <c r="P105" s="70" t="s">
        <v>213</v>
      </c>
      <c r="Q105" s="70" t="s">
        <v>214</v>
      </c>
      <c r="R105" s="70" t="s">
        <v>95</v>
      </c>
      <c r="S105" s="70" t="s">
        <v>512</v>
      </c>
    </row>
    <row r="106" spans="1:19" ht="60" customHeight="1" x14ac:dyDescent="0.3">
      <c r="A106" s="68">
        <f t="shared" si="6"/>
        <v>89</v>
      </c>
      <c r="B106" s="68">
        <v>10</v>
      </c>
      <c r="C106" s="68" t="s">
        <v>54</v>
      </c>
      <c r="D106" s="68" t="s">
        <v>17</v>
      </c>
      <c r="E106" s="69" t="s">
        <v>513</v>
      </c>
      <c r="F106" s="69" t="s">
        <v>496</v>
      </c>
      <c r="G106" s="69" t="s">
        <v>328</v>
      </c>
      <c r="H106" s="69" t="s">
        <v>329</v>
      </c>
      <c r="I106" s="69" t="s">
        <v>514</v>
      </c>
      <c r="J106" s="68"/>
      <c r="K106" s="68"/>
      <c r="L106" s="68" t="s">
        <v>18</v>
      </c>
      <c r="M106" s="68" t="s">
        <v>213</v>
      </c>
      <c r="N106" s="68"/>
      <c r="O106" s="68" t="s">
        <v>213</v>
      </c>
      <c r="P106" s="68" t="s">
        <v>213</v>
      </c>
      <c r="Q106" s="68" t="s">
        <v>214</v>
      </c>
      <c r="R106" s="68" t="s">
        <v>95</v>
      </c>
      <c r="S106" s="68" t="s">
        <v>515</v>
      </c>
    </row>
    <row r="107" spans="1:19" ht="60" customHeight="1" x14ac:dyDescent="0.3">
      <c r="A107" s="70">
        <f t="shared" si="6"/>
        <v>90</v>
      </c>
      <c r="B107" s="70">
        <v>10</v>
      </c>
      <c r="C107" s="71" t="s">
        <v>16</v>
      </c>
      <c r="D107" s="71" t="s">
        <v>17</v>
      </c>
      <c r="E107" s="72" t="s">
        <v>516</v>
      </c>
      <c r="F107" s="72" t="s">
        <v>496</v>
      </c>
      <c r="G107" s="72" t="s">
        <v>292</v>
      </c>
      <c r="H107" s="72" t="s">
        <v>293</v>
      </c>
      <c r="I107" s="72" t="s">
        <v>489</v>
      </c>
      <c r="J107" s="70"/>
      <c r="K107" s="70"/>
      <c r="L107" s="71" t="s">
        <v>18</v>
      </c>
      <c r="M107" s="70" t="s">
        <v>213</v>
      </c>
      <c r="N107" s="70"/>
      <c r="O107" s="70" t="s">
        <v>213</v>
      </c>
      <c r="P107" s="70" t="s">
        <v>213</v>
      </c>
      <c r="Q107" s="70" t="s">
        <v>214</v>
      </c>
      <c r="R107" s="70" t="s">
        <v>95</v>
      </c>
      <c r="S107" s="70" t="s">
        <v>517</v>
      </c>
    </row>
    <row r="108" spans="1:19" ht="60" customHeight="1" x14ac:dyDescent="0.3">
      <c r="A108" s="68">
        <f t="shared" si="6"/>
        <v>91</v>
      </c>
      <c r="B108" s="68">
        <v>10</v>
      </c>
      <c r="C108" s="68" t="s">
        <v>344</v>
      </c>
      <c r="D108" s="68" t="s">
        <v>17</v>
      </c>
      <c r="E108" s="69" t="s">
        <v>518</v>
      </c>
      <c r="F108" s="69" t="s">
        <v>496</v>
      </c>
      <c r="G108" s="69" t="s">
        <v>346</v>
      </c>
      <c r="H108" s="69" t="s">
        <v>347</v>
      </c>
      <c r="I108" s="69" t="s">
        <v>492</v>
      </c>
      <c r="J108" s="68"/>
      <c r="K108" s="68"/>
      <c r="L108" s="68" t="s">
        <v>18</v>
      </c>
      <c r="M108" s="68" t="s">
        <v>213</v>
      </c>
      <c r="N108" s="68"/>
      <c r="O108" s="68" t="s">
        <v>213</v>
      </c>
      <c r="P108" s="68" t="s">
        <v>213</v>
      </c>
      <c r="Q108" s="68" t="s">
        <v>214</v>
      </c>
      <c r="R108" s="68" t="s">
        <v>95</v>
      </c>
      <c r="S108" s="68" t="s">
        <v>519</v>
      </c>
    </row>
    <row r="109" spans="1:19" ht="60" customHeight="1" x14ac:dyDescent="0.3">
      <c r="A109" s="70">
        <f t="shared" si="6"/>
        <v>92</v>
      </c>
      <c r="B109" s="70">
        <v>10</v>
      </c>
      <c r="C109" s="71" t="s">
        <v>54</v>
      </c>
      <c r="D109" s="71" t="s">
        <v>17</v>
      </c>
      <c r="E109" s="72" t="s">
        <v>520</v>
      </c>
      <c r="F109" s="72" t="s">
        <v>496</v>
      </c>
      <c r="G109" s="72" t="s">
        <v>263</v>
      </c>
      <c r="H109" s="72" t="s">
        <v>264</v>
      </c>
      <c r="I109" s="72" t="s">
        <v>464</v>
      </c>
      <c r="J109" s="70"/>
      <c r="K109" s="70"/>
      <c r="L109" s="71" t="s">
        <v>18</v>
      </c>
      <c r="M109" s="70" t="s">
        <v>213</v>
      </c>
      <c r="N109" s="70"/>
      <c r="O109" s="70" t="s">
        <v>213</v>
      </c>
      <c r="P109" s="70" t="s">
        <v>213</v>
      </c>
      <c r="Q109" s="70" t="s">
        <v>214</v>
      </c>
      <c r="R109" s="70" t="s">
        <v>95</v>
      </c>
      <c r="S109" s="70" t="s">
        <v>521</v>
      </c>
    </row>
    <row r="110" spans="1:19" ht="60" customHeight="1" x14ac:dyDescent="0.3">
      <c r="A110" s="68">
        <f t="shared" si="6"/>
        <v>93</v>
      </c>
      <c r="B110" s="68">
        <v>10</v>
      </c>
      <c r="C110" s="68" t="s">
        <v>54</v>
      </c>
      <c r="D110" s="68" t="s">
        <v>17</v>
      </c>
      <c r="E110" s="69" t="s">
        <v>522</v>
      </c>
      <c r="F110" s="69" t="s">
        <v>496</v>
      </c>
      <c r="G110" s="69" t="s">
        <v>263</v>
      </c>
      <c r="H110" s="69" t="s">
        <v>264</v>
      </c>
      <c r="I110" s="69" t="s">
        <v>523</v>
      </c>
      <c r="J110" s="68"/>
      <c r="K110" s="68"/>
      <c r="L110" s="68" t="s">
        <v>18</v>
      </c>
      <c r="M110" s="68" t="s">
        <v>213</v>
      </c>
      <c r="N110" s="68"/>
      <c r="O110" s="68" t="s">
        <v>213</v>
      </c>
      <c r="P110" s="68" t="s">
        <v>213</v>
      </c>
      <c r="Q110" s="68" t="s">
        <v>214</v>
      </c>
      <c r="R110" s="68" t="s">
        <v>95</v>
      </c>
      <c r="S110" s="68" t="s">
        <v>524</v>
      </c>
    </row>
    <row r="111" spans="1:19" ht="60" customHeight="1" x14ac:dyDescent="0.3">
      <c r="A111" s="70">
        <f t="shared" si="6"/>
        <v>94</v>
      </c>
      <c r="B111" s="70">
        <v>10</v>
      </c>
      <c r="C111" s="71" t="s">
        <v>54</v>
      </c>
      <c r="D111" s="71" t="s">
        <v>17</v>
      </c>
      <c r="E111" s="72" t="s">
        <v>525</v>
      </c>
      <c r="F111" s="72" t="s">
        <v>496</v>
      </c>
      <c r="G111" s="72" t="s">
        <v>263</v>
      </c>
      <c r="H111" s="72" t="s">
        <v>264</v>
      </c>
      <c r="I111" s="72" t="s">
        <v>526</v>
      </c>
      <c r="J111" s="70"/>
      <c r="K111" s="70"/>
      <c r="L111" s="71" t="s">
        <v>18</v>
      </c>
      <c r="M111" s="70" t="s">
        <v>213</v>
      </c>
      <c r="N111" s="70"/>
      <c r="O111" s="70" t="s">
        <v>213</v>
      </c>
      <c r="P111" s="70" t="s">
        <v>213</v>
      </c>
      <c r="Q111" s="70" t="s">
        <v>214</v>
      </c>
      <c r="R111" s="70" t="s">
        <v>95</v>
      </c>
      <c r="S111" s="70" t="s">
        <v>527</v>
      </c>
    </row>
    <row r="112" spans="1:19" ht="60" customHeight="1" x14ac:dyDescent="0.3">
      <c r="A112" s="68">
        <f t="shared" si="6"/>
        <v>95</v>
      </c>
      <c r="B112" s="68">
        <v>10</v>
      </c>
      <c r="C112" s="68" t="s">
        <v>54</v>
      </c>
      <c r="D112" s="68" t="s">
        <v>17</v>
      </c>
      <c r="E112" s="69" t="s">
        <v>528</v>
      </c>
      <c r="F112" s="69" t="s">
        <v>496</v>
      </c>
      <c r="G112" s="69" t="s">
        <v>263</v>
      </c>
      <c r="H112" s="69" t="s">
        <v>264</v>
      </c>
      <c r="I112" s="69" t="s">
        <v>529</v>
      </c>
      <c r="J112" s="68"/>
      <c r="K112" s="68"/>
      <c r="L112" s="68" t="s">
        <v>18</v>
      </c>
      <c r="M112" s="68" t="s">
        <v>213</v>
      </c>
      <c r="N112" s="68"/>
      <c r="O112" s="68" t="s">
        <v>213</v>
      </c>
      <c r="P112" s="68" t="s">
        <v>213</v>
      </c>
      <c r="Q112" s="68" t="s">
        <v>214</v>
      </c>
      <c r="R112" s="68" t="s">
        <v>95</v>
      </c>
      <c r="S112" s="68" t="s">
        <v>530</v>
      </c>
    </row>
    <row r="113" spans="1:19" ht="60" customHeight="1" x14ac:dyDescent="0.3">
      <c r="A113" s="70">
        <f t="shared" si="6"/>
        <v>96</v>
      </c>
      <c r="B113" s="70">
        <v>10</v>
      </c>
      <c r="C113" s="71" t="s">
        <v>16</v>
      </c>
      <c r="D113" s="71" t="s">
        <v>17</v>
      </c>
      <c r="E113" s="72" t="s">
        <v>531</v>
      </c>
      <c r="F113" s="72" t="s">
        <v>496</v>
      </c>
      <c r="G113" s="72" t="s">
        <v>210</v>
      </c>
      <c r="H113" s="72" t="s">
        <v>211</v>
      </c>
      <c r="I113" s="72" t="s">
        <v>532</v>
      </c>
      <c r="J113" s="70"/>
      <c r="K113" s="70"/>
      <c r="L113" s="71" t="s">
        <v>18</v>
      </c>
      <c r="M113" s="70" t="s">
        <v>213</v>
      </c>
      <c r="N113" s="70"/>
      <c r="O113" s="70" t="s">
        <v>213</v>
      </c>
      <c r="P113" s="70" t="s">
        <v>213</v>
      </c>
      <c r="Q113" s="70" t="s">
        <v>214</v>
      </c>
      <c r="R113" s="70" t="s">
        <v>95</v>
      </c>
      <c r="S113" s="70" t="s">
        <v>533</v>
      </c>
    </row>
    <row r="114" spans="1:19" ht="60" customHeight="1" x14ac:dyDescent="0.3">
      <c r="A114" s="68">
        <f t="shared" si="6"/>
        <v>97</v>
      </c>
      <c r="B114" s="68">
        <v>10</v>
      </c>
      <c r="C114" s="68" t="s">
        <v>54</v>
      </c>
      <c r="D114" s="68" t="s">
        <v>17</v>
      </c>
      <c r="E114" s="69" t="s">
        <v>534</v>
      </c>
      <c r="F114" s="69" t="s">
        <v>496</v>
      </c>
      <c r="G114" s="69" t="s">
        <v>263</v>
      </c>
      <c r="H114" s="69" t="s">
        <v>264</v>
      </c>
      <c r="I114" s="69" t="s">
        <v>535</v>
      </c>
      <c r="J114" s="68"/>
      <c r="K114" s="68"/>
      <c r="L114" s="68" t="s">
        <v>18</v>
      </c>
      <c r="M114" s="68" t="s">
        <v>213</v>
      </c>
      <c r="N114" s="68"/>
      <c r="O114" s="68" t="s">
        <v>213</v>
      </c>
      <c r="P114" s="68" t="s">
        <v>213</v>
      </c>
      <c r="Q114" s="68" t="s">
        <v>214</v>
      </c>
      <c r="R114" s="68" t="s">
        <v>95</v>
      </c>
      <c r="S114" s="68" t="s">
        <v>536</v>
      </c>
    </row>
    <row r="115" spans="1:19" ht="60" customHeight="1" x14ac:dyDescent="0.3">
      <c r="A115" s="70">
        <f t="shared" si="6"/>
        <v>98</v>
      </c>
      <c r="B115" s="70">
        <v>10</v>
      </c>
      <c r="C115" s="71" t="s">
        <v>54</v>
      </c>
      <c r="D115" s="71" t="s">
        <v>17</v>
      </c>
      <c r="E115" s="72" t="s">
        <v>537</v>
      </c>
      <c r="F115" s="72" t="s">
        <v>496</v>
      </c>
      <c r="G115" s="72" t="s">
        <v>263</v>
      </c>
      <c r="H115" s="72" t="s">
        <v>264</v>
      </c>
      <c r="I115" s="72" t="s">
        <v>538</v>
      </c>
      <c r="J115" s="70"/>
      <c r="K115" s="70"/>
      <c r="L115" s="71" t="s">
        <v>18</v>
      </c>
      <c r="M115" s="70" t="s">
        <v>213</v>
      </c>
      <c r="N115" s="70"/>
      <c r="O115" s="70" t="s">
        <v>213</v>
      </c>
      <c r="P115" s="70" t="s">
        <v>213</v>
      </c>
      <c r="Q115" s="70" t="s">
        <v>214</v>
      </c>
      <c r="R115" s="70" t="s">
        <v>95</v>
      </c>
      <c r="S115" s="70" t="s">
        <v>539</v>
      </c>
    </row>
    <row r="116" spans="1:19" ht="60" customHeight="1" x14ac:dyDescent="0.3">
      <c r="A116" s="68">
        <f t="shared" si="6"/>
        <v>99</v>
      </c>
      <c r="B116" s="68">
        <v>10</v>
      </c>
      <c r="C116" s="68" t="s">
        <v>54</v>
      </c>
      <c r="D116" s="68" t="s">
        <v>17</v>
      </c>
      <c r="E116" s="69" t="s">
        <v>540</v>
      </c>
      <c r="F116" s="69" t="s">
        <v>496</v>
      </c>
      <c r="G116" s="69" t="s">
        <v>263</v>
      </c>
      <c r="H116" s="69" t="s">
        <v>264</v>
      </c>
      <c r="I116" s="69" t="s">
        <v>541</v>
      </c>
      <c r="J116" s="68"/>
      <c r="K116" s="68"/>
      <c r="L116" s="68" t="s">
        <v>18</v>
      </c>
      <c r="M116" s="68" t="s">
        <v>213</v>
      </c>
      <c r="N116" s="68"/>
      <c r="O116" s="68" t="s">
        <v>213</v>
      </c>
      <c r="P116" s="68" t="s">
        <v>213</v>
      </c>
      <c r="Q116" s="68" t="s">
        <v>214</v>
      </c>
      <c r="R116" s="68" t="s">
        <v>95</v>
      </c>
      <c r="S116" s="68" t="s">
        <v>542</v>
      </c>
    </row>
    <row r="117" spans="1:19" ht="19.5" customHeight="1" x14ac:dyDescent="0.3">
      <c r="A117" s="6" t="s">
        <v>543</v>
      </c>
      <c r="B117" s="6"/>
      <c r="C117" s="6"/>
      <c r="D117" s="6"/>
      <c r="E117" s="6"/>
      <c r="F117" s="6"/>
      <c r="G117" s="6"/>
      <c r="H117" s="6"/>
      <c r="I117" s="6"/>
      <c r="J117" s="6"/>
      <c r="K117" s="6"/>
      <c r="L117" s="6"/>
      <c r="M117" s="6"/>
      <c r="N117" s="6"/>
      <c r="O117" s="6"/>
      <c r="P117" s="6"/>
      <c r="Q117" s="6"/>
      <c r="R117" s="5"/>
      <c r="S117" s="5"/>
    </row>
    <row r="118" spans="1:19" ht="60" customHeight="1" x14ac:dyDescent="0.3">
      <c r="A118" s="70">
        <f>A116+1</f>
        <v>100</v>
      </c>
      <c r="B118" s="70">
        <v>11</v>
      </c>
      <c r="C118" s="71" t="s">
        <v>16</v>
      </c>
      <c r="D118" s="71" t="s">
        <v>17</v>
      </c>
      <c r="E118" s="72" t="s">
        <v>544</v>
      </c>
      <c r="F118" s="72" t="s">
        <v>545</v>
      </c>
      <c r="G118" s="72" t="s">
        <v>292</v>
      </c>
      <c r="H118" s="72" t="s">
        <v>305</v>
      </c>
      <c r="I118" s="72" t="s">
        <v>546</v>
      </c>
      <c r="J118" s="70"/>
      <c r="K118" s="70"/>
      <c r="L118" s="71" t="s">
        <v>18</v>
      </c>
      <c r="M118" s="70" t="s">
        <v>213</v>
      </c>
      <c r="N118" s="70"/>
      <c r="O118" s="70" t="s">
        <v>213</v>
      </c>
      <c r="P118" s="70" t="s">
        <v>213</v>
      </c>
      <c r="Q118" s="70" t="s">
        <v>214</v>
      </c>
      <c r="R118" s="70" t="s">
        <v>100</v>
      </c>
      <c r="S118" s="70" t="s">
        <v>547</v>
      </c>
    </row>
    <row r="119" spans="1:19" ht="60" customHeight="1" x14ac:dyDescent="0.3">
      <c r="A119" s="68">
        <f t="shared" ref="A119:A129" si="7">A118+1</f>
        <v>101</v>
      </c>
      <c r="B119" s="68">
        <v>11</v>
      </c>
      <c r="C119" s="68" t="s">
        <v>54</v>
      </c>
      <c r="D119" s="68" t="s">
        <v>17</v>
      </c>
      <c r="E119" s="69" t="s">
        <v>548</v>
      </c>
      <c r="F119" s="69" t="s">
        <v>545</v>
      </c>
      <c r="G119" s="69" t="s">
        <v>210</v>
      </c>
      <c r="H119" s="69" t="s">
        <v>256</v>
      </c>
      <c r="I119" s="69" t="s">
        <v>549</v>
      </c>
      <c r="J119" s="68"/>
      <c r="K119" s="68"/>
      <c r="L119" s="68" t="s">
        <v>18</v>
      </c>
      <c r="M119" s="68" t="s">
        <v>213</v>
      </c>
      <c r="N119" s="68"/>
      <c r="O119" s="68" t="s">
        <v>213</v>
      </c>
      <c r="P119" s="68" t="s">
        <v>213</v>
      </c>
      <c r="Q119" s="68" t="s">
        <v>214</v>
      </c>
      <c r="R119" s="68" t="s">
        <v>100</v>
      </c>
      <c r="S119" s="68" t="s">
        <v>550</v>
      </c>
    </row>
    <row r="120" spans="1:19" ht="60" customHeight="1" x14ac:dyDescent="0.3">
      <c r="A120" s="70">
        <f t="shared" si="7"/>
        <v>102</v>
      </c>
      <c r="B120" s="70">
        <v>11</v>
      </c>
      <c r="C120" s="71" t="s">
        <v>54</v>
      </c>
      <c r="D120" s="71" t="s">
        <v>17</v>
      </c>
      <c r="E120" s="72" t="s">
        <v>551</v>
      </c>
      <c r="F120" s="72" t="s">
        <v>545</v>
      </c>
      <c r="G120" s="72" t="s">
        <v>263</v>
      </c>
      <c r="H120" s="72" t="s">
        <v>264</v>
      </c>
      <c r="I120" s="72" t="s">
        <v>552</v>
      </c>
      <c r="J120" s="70"/>
      <c r="K120" s="70"/>
      <c r="L120" s="71" t="s">
        <v>18</v>
      </c>
      <c r="M120" s="70" t="s">
        <v>213</v>
      </c>
      <c r="N120" s="70"/>
      <c r="O120" s="70" t="s">
        <v>213</v>
      </c>
      <c r="P120" s="70" t="s">
        <v>213</v>
      </c>
      <c r="Q120" s="70" t="s">
        <v>214</v>
      </c>
      <c r="R120" s="70" t="s">
        <v>100</v>
      </c>
      <c r="S120" s="70" t="s">
        <v>553</v>
      </c>
    </row>
    <row r="121" spans="1:19" ht="60" customHeight="1" x14ac:dyDescent="0.3">
      <c r="A121" s="68">
        <f t="shared" si="7"/>
        <v>103</v>
      </c>
      <c r="B121" s="68">
        <v>11</v>
      </c>
      <c r="C121" s="68" t="s">
        <v>226</v>
      </c>
      <c r="D121" s="68" t="s">
        <v>17</v>
      </c>
      <c r="E121" s="69" t="s">
        <v>554</v>
      </c>
      <c r="F121" s="69" t="s">
        <v>545</v>
      </c>
      <c r="G121" s="69" t="s">
        <v>228</v>
      </c>
      <c r="H121" s="69" t="s">
        <v>229</v>
      </c>
      <c r="I121" s="69" t="s">
        <v>555</v>
      </c>
      <c r="J121" s="68"/>
      <c r="K121" s="68"/>
      <c r="L121" s="68" t="s">
        <v>18</v>
      </c>
      <c r="M121" s="68" t="s">
        <v>213</v>
      </c>
      <c r="N121" s="68"/>
      <c r="O121" s="68" t="s">
        <v>213</v>
      </c>
      <c r="P121" s="68" t="s">
        <v>213</v>
      </c>
      <c r="Q121" s="68" t="s">
        <v>214</v>
      </c>
      <c r="R121" s="68" t="s">
        <v>100</v>
      </c>
      <c r="S121" s="68" t="s">
        <v>556</v>
      </c>
    </row>
    <row r="122" spans="1:19" ht="60" customHeight="1" x14ac:dyDescent="0.3">
      <c r="A122" s="70">
        <f t="shared" si="7"/>
        <v>104</v>
      </c>
      <c r="B122" s="70">
        <v>11</v>
      </c>
      <c r="C122" s="71" t="s">
        <v>16</v>
      </c>
      <c r="D122" s="71" t="s">
        <v>17</v>
      </c>
      <c r="E122" s="72" t="s">
        <v>557</v>
      </c>
      <c r="F122" s="72" t="s">
        <v>545</v>
      </c>
      <c r="G122" s="72" t="s">
        <v>292</v>
      </c>
      <c r="H122" s="72" t="s">
        <v>305</v>
      </c>
      <c r="I122" s="72" t="s">
        <v>558</v>
      </c>
      <c r="J122" s="70"/>
      <c r="K122" s="70"/>
      <c r="L122" s="71" t="s">
        <v>18</v>
      </c>
      <c r="M122" s="70" t="s">
        <v>213</v>
      </c>
      <c r="N122" s="70"/>
      <c r="O122" s="70" t="s">
        <v>213</v>
      </c>
      <c r="P122" s="70" t="s">
        <v>213</v>
      </c>
      <c r="Q122" s="70" t="s">
        <v>214</v>
      </c>
      <c r="R122" s="70" t="s">
        <v>100</v>
      </c>
      <c r="S122" s="70" t="s">
        <v>559</v>
      </c>
    </row>
    <row r="123" spans="1:19" ht="60" customHeight="1" x14ac:dyDescent="0.3">
      <c r="A123" s="68">
        <f t="shared" si="7"/>
        <v>105</v>
      </c>
      <c r="B123" s="68">
        <v>11</v>
      </c>
      <c r="C123" s="68" t="s">
        <v>16</v>
      </c>
      <c r="D123" s="68" t="s">
        <v>17</v>
      </c>
      <c r="E123" s="69" t="s">
        <v>560</v>
      </c>
      <c r="F123" s="69" t="s">
        <v>545</v>
      </c>
      <c r="G123" s="69" t="s">
        <v>315</v>
      </c>
      <c r="H123" s="69" t="s">
        <v>316</v>
      </c>
      <c r="I123" s="69" t="s">
        <v>561</v>
      </c>
      <c r="J123" s="68"/>
      <c r="K123" s="68"/>
      <c r="L123" s="68" t="s">
        <v>18</v>
      </c>
      <c r="M123" s="68" t="s">
        <v>213</v>
      </c>
      <c r="N123" s="68"/>
      <c r="O123" s="68" t="s">
        <v>213</v>
      </c>
      <c r="P123" s="68" t="s">
        <v>213</v>
      </c>
      <c r="Q123" s="68" t="s">
        <v>214</v>
      </c>
      <c r="R123" s="68" t="s">
        <v>100</v>
      </c>
      <c r="S123" s="68" t="s">
        <v>562</v>
      </c>
    </row>
    <row r="124" spans="1:19" ht="60" customHeight="1" x14ac:dyDescent="0.3">
      <c r="A124" s="70">
        <f t="shared" si="7"/>
        <v>106</v>
      </c>
      <c r="B124" s="70">
        <v>11</v>
      </c>
      <c r="C124" s="71" t="s">
        <v>16</v>
      </c>
      <c r="D124" s="71" t="s">
        <v>17</v>
      </c>
      <c r="E124" s="72" t="s">
        <v>563</v>
      </c>
      <c r="F124" s="72" t="s">
        <v>545</v>
      </c>
      <c r="G124" s="72" t="s">
        <v>221</v>
      </c>
      <c r="H124" s="72" t="s">
        <v>222</v>
      </c>
      <c r="I124" s="72" t="s">
        <v>564</v>
      </c>
      <c r="J124" s="70"/>
      <c r="K124" s="70"/>
      <c r="L124" s="71" t="s">
        <v>18</v>
      </c>
      <c r="M124" s="70" t="s">
        <v>213</v>
      </c>
      <c r="N124" s="70"/>
      <c r="O124" s="70" t="s">
        <v>213</v>
      </c>
      <c r="P124" s="70" t="s">
        <v>213</v>
      </c>
      <c r="Q124" s="70" t="s">
        <v>214</v>
      </c>
      <c r="R124" s="70" t="s">
        <v>100</v>
      </c>
      <c r="S124" s="70" t="s">
        <v>565</v>
      </c>
    </row>
    <row r="125" spans="1:19" ht="60" customHeight="1" x14ac:dyDescent="0.3">
      <c r="A125" s="68">
        <f t="shared" si="7"/>
        <v>107</v>
      </c>
      <c r="B125" s="68">
        <v>11</v>
      </c>
      <c r="C125" s="68" t="s">
        <v>54</v>
      </c>
      <c r="D125" s="68" t="s">
        <v>17</v>
      </c>
      <c r="E125" s="69" t="s">
        <v>566</v>
      </c>
      <c r="F125" s="69" t="s">
        <v>545</v>
      </c>
      <c r="G125" s="69" t="s">
        <v>328</v>
      </c>
      <c r="H125" s="69" t="s">
        <v>479</v>
      </c>
      <c r="I125" s="69" t="s">
        <v>480</v>
      </c>
      <c r="J125" s="68"/>
      <c r="K125" s="68"/>
      <c r="L125" s="68" t="s">
        <v>18</v>
      </c>
      <c r="M125" s="68" t="s">
        <v>213</v>
      </c>
      <c r="N125" s="68"/>
      <c r="O125" s="68" t="s">
        <v>213</v>
      </c>
      <c r="P125" s="68" t="s">
        <v>213</v>
      </c>
      <c r="Q125" s="68" t="s">
        <v>214</v>
      </c>
      <c r="R125" s="68" t="s">
        <v>100</v>
      </c>
      <c r="S125" s="68" t="s">
        <v>567</v>
      </c>
    </row>
    <row r="126" spans="1:19" ht="60" customHeight="1" x14ac:dyDescent="0.3">
      <c r="A126" s="70">
        <f t="shared" si="7"/>
        <v>108</v>
      </c>
      <c r="B126" s="70">
        <v>11</v>
      </c>
      <c r="C126" s="71" t="s">
        <v>54</v>
      </c>
      <c r="D126" s="71" t="s">
        <v>17</v>
      </c>
      <c r="E126" s="72" t="s">
        <v>568</v>
      </c>
      <c r="F126" s="72" t="s">
        <v>545</v>
      </c>
      <c r="G126" s="72" t="s">
        <v>323</v>
      </c>
      <c r="H126" s="72" t="s">
        <v>324</v>
      </c>
      <c r="I126" s="72" t="s">
        <v>569</v>
      </c>
      <c r="J126" s="70"/>
      <c r="K126" s="70"/>
      <c r="L126" s="71" t="s">
        <v>18</v>
      </c>
      <c r="M126" s="70" t="s">
        <v>213</v>
      </c>
      <c r="N126" s="70"/>
      <c r="O126" s="70" t="s">
        <v>213</v>
      </c>
      <c r="P126" s="70" t="s">
        <v>213</v>
      </c>
      <c r="Q126" s="70" t="s">
        <v>214</v>
      </c>
      <c r="R126" s="70" t="s">
        <v>100</v>
      </c>
      <c r="S126" s="70" t="s">
        <v>570</v>
      </c>
    </row>
    <row r="127" spans="1:19" ht="60" customHeight="1" x14ac:dyDescent="0.3">
      <c r="A127" s="68">
        <f t="shared" si="7"/>
        <v>109</v>
      </c>
      <c r="B127" s="68">
        <v>11</v>
      </c>
      <c r="C127" s="68" t="s">
        <v>54</v>
      </c>
      <c r="D127" s="68" t="s">
        <v>17</v>
      </c>
      <c r="E127" s="69" t="s">
        <v>571</v>
      </c>
      <c r="F127" s="69" t="s">
        <v>545</v>
      </c>
      <c r="G127" s="69" t="s">
        <v>328</v>
      </c>
      <c r="H127" s="69" t="s">
        <v>329</v>
      </c>
      <c r="I127" s="69" t="s">
        <v>572</v>
      </c>
      <c r="J127" s="68"/>
      <c r="K127" s="68"/>
      <c r="L127" s="68" t="s">
        <v>18</v>
      </c>
      <c r="M127" s="68" t="s">
        <v>213</v>
      </c>
      <c r="N127" s="68"/>
      <c r="O127" s="68" t="s">
        <v>213</v>
      </c>
      <c r="P127" s="68" t="s">
        <v>213</v>
      </c>
      <c r="Q127" s="68" t="s">
        <v>214</v>
      </c>
      <c r="R127" s="68" t="s">
        <v>100</v>
      </c>
      <c r="S127" s="68" t="s">
        <v>573</v>
      </c>
    </row>
    <row r="128" spans="1:19" ht="60" customHeight="1" x14ac:dyDescent="0.3">
      <c r="A128" s="70">
        <f t="shared" si="7"/>
        <v>110</v>
      </c>
      <c r="B128" s="70">
        <v>11</v>
      </c>
      <c r="C128" s="71" t="s">
        <v>16</v>
      </c>
      <c r="D128" s="71" t="s">
        <v>17</v>
      </c>
      <c r="E128" s="72" t="s">
        <v>574</v>
      </c>
      <c r="F128" s="72" t="s">
        <v>545</v>
      </c>
      <c r="G128" s="72" t="s">
        <v>292</v>
      </c>
      <c r="H128" s="72" t="s">
        <v>293</v>
      </c>
      <c r="I128" s="72" t="s">
        <v>489</v>
      </c>
      <c r="J128" s="70"/>
      <c r="K128" s="70"/>
      <c r="L128" s="71" t="s">
        <v>18</v>
      </c>
      <c r="M128" s="70" t="s">
        <v>213</v>
      </c>
      <c r="N128" s="70"/>
      <c r="O128" s="70" t="s">
        <v>213</v>
      </c>
      <c r="P128" s="70" t="s">
        <v>213</v>
      </c>
      <c r="Q128" s="70" t="s">
        <v>214</v>
      </c>
      <c r="R128" s="70" t="s">
        <v>100</v>
      </c>
      <c r="S128" s="70" t="s">
        <v>575</v>
      </c>
    </row>
    <row r="129" spans="1:19" ht="60" customHeight="1" x14ac:dyDescent="0.3">
      <c r="A129" s="68">
        <f t="shared" si="7"/>
        <v>111</v>
      </c>
      <c r="B129" s="68">
        <v>11</v>
      </c>
      <c r="C129" s="68" t="s">
        <v>344</v>
      </c>
      <c r="D129" s="68" t="s">
        <v>17</v>
      </c>
      <c r="E129" s="69" t="s">
        <v>576</v>
      </c>
      <c r="F129" s="69" t="s">
        <v>545</v>
      </c>
      <c r="G129" s="69" t="s">
        <v>346</v>
      </c>
      <c r="H129" s="69" t="s">
        <v>347</v>
      </c>
      <c r="I129" s="69" t="s">
        <v>492</v>
      </c>
      <c r="J129" s="68"/>
      <c r="K129" s="68"/>
      <c r="L129" s="68" t="s">
        <v>18</v>
      </c>
      <c r="M129" s="68" t="s">
        <v>213</v>
      </c>
      <c r="N129" s="68"/>
      <c r="O129" s="68" t="s">
        <v>213</v>
      </c>
      <c r="P129" s="68" t="s">
        <v>213</v>
      </c>
      <c r="Q129" s="68" t="s">
        <v>214</v>
      </c>
      <c r="R129" s="68" t="s">
        <v>100</v>
      </c>
      <c r="S129" s="68" t="s">
        <v>577</v>
      </c>
    </row>
    <row r="130" spans="1:19" ht="19.5" customHeight="1" x14ac:dyDescent="0.3">
      <c r="A130" s="6" t="s">
        <v>578</v>
      </c>
      <c r="B130" s="6"/>
      <c r="C130" s="6"/>
      <c r="D130" s="6"/>
      <c r="E130" s="6"/>
      <c r="F130" s="6"/>
      <c r="G130" s="6"/>
      <c r="H130" s="6"/>
      <c r="I130" s="6"/>
      <c r="J130" s="6"/>
      <c r="K130" s="6"/>
      <c r="L130" s="6"/>
      <c r="M130" s="6"/>
      <c r="N130" s="6"/>
      <c r="O130" s="6"/>
      <c r="P130" s="6"/>
      <c r="Q130" s="6"/>
      <c r="R130" s="5"/>
      <c r="S130" s="5"/>
    </row>
    <row r="131" spans="1:19" ht="60" customHeight="1" x14ac:dyDescent="0.3">
      <c r="A131" s="70">
        <f>A129+1</f>
        <v>112</v>
      </c>
      <c r="B131" s="70">
        <v>12</v>
      </c>
      <c r="C131" s="71" t="s">
        <v>16</v>
      </c>
      <c r="D131" s="71" t="s">
        <v>17</v>
      </c>
      <c r="E131" s="72" t="s">
        <v>579</v>
      </c>
      <c r="F131" s="72" t="s">
        <v>580</v>
      </c>
      <c r="G131" s="72" t="s">
        <v>292</v>
      </c>
      <c r="H131" s="72" t="s">
        <v>305</v>
      </c>
      <c r="I131" s="72" t="s">
        <v>581</v>
      </c>
      <c r="J131" s="70"/>
      <c r="K131" s="70"/>
      <c r="L131" s="71" t="s">
        <v>18</v>
      </c>
      <c r="M131" s="70" t="s">
        <v>213</v>
      </c>
      <c r="N131" s="70"/>
      <c r="O131" s="70" t="s">
        <v>213</v>
      </c>
      <c r="P131" s="70" t="s">
        <v>213</v>
      </c>
      <c r="Q131" s="70" t="s">
        <v>214</v>
      </c>
      <c r="R131" s="70" t="s">
        <v>105</v>
      </c>
      <c r="S131" s="70" t="s">
        <v>582</v>
      </c>
    </row>
    <row r="132" spans="1:19" ht="60" customHeight="1" x14ac:dyDescent="0.3">
      <c r="A132" s="68">
        <f t="shared" ref="A132:A139" si="8">A131+1</f>
        <v>113</v>
      </c>
      <c r="B132" s="68">
        <v>12</v>
      </c>
      <c r="C132" s="68" t="s">
        <v>16</v>
      </c>
      <c r="D132" s="68" t="s">
        <v>17</v>
      </c>
      <c r="E132" s="69" t="s">
        <v>583</v>
      </c>
      <c r="F132" s="69" t="s">
        <v>580</v>
      </c>
      <c r="G132" s="69" t="s">
        <v>292</v>
      </c>
      <c r="H132" s="69" t="s">
        <v>305</v>
      </c>
      <c r="I132" s="69" t="s">
        <v>584</v>
      </c>
      <c r="J132" s="68"/>
      <c r="K132" s="68"/>
      <c r="L132" s="68" t="s">
        <v>18</v>
      </c>
      <c r="M132" s="68" t="s">
        <v>213</v>
      </c>
      <c r="N132" s="68"/>
      <c r="O132" s="68" t="s">
        <v>213</v>
      </c>
      <c r="P132" s="68" t="s">
        <v>213</v>
      </c>
      <c r="Q132" s="68" t="s">
        <v>214</v>
      </c>
      <c r="R132" s="68" t="s">
        <v>105</v>
      </c>
      <c r="S132" s="68" t="s">
        <v>585</v>
      </c>
    </row>
    <row r="133" spans="1:19" ht="60" customHeight="1" x14ac:dyDescent="0.3">
      <c r="A133" s="70">
        <f t="shared" si="8"/>
        <v>114</v>
      </c>
      <c r="B133" s="70">
        <v>12</v>
      </c>
      <c r="C133" s="71" t="s">
        <v>16</v>
      </c>
      <c r="D133" s="71" t="s">
        <v>17</v>
      </c>
      <c r="E133" s="72" t="s">
        <v>586</v>
      </c>
      <c r="F133" s="72" t="s">
        <v>580</v>
      </c>
      <c r="G133" s="72" t="s">
        <v>315</v>
      </c>
      <c r="H133" s="72" t="s">
        <v>316</v>
      </c>
      <c r="I133" s="72" t="s">
        <v>587</v>
      </c>
      <c r="J133" s="70"/>
      <c r="K133" s="70"/>
      <c r="L133" s="71" t="s">
        <v>18</v>
      </c>
      <c r="M133" s="70" t="s">
        <v>213</v>
      </c>
      <c r="N133" s="70"/>
      <c r="O133" s="70" t="s">
        <v>213</v>
      </c>
      <c r="P133" s="70" t="s">
        <v>213</v>
      </c>
      <c r="Q133" s="70" t="s">
        <v>214</v>
      </c>
      <c r="R133" s="70" t="s">
        <v>105</v>
      </c>
      <c r="S133" s="70" t="s">
        <v>588</v>
      </c>
    </row>
    <row r="134" spans="1:19" ht="60" customHeight="1" x14ac:dyDescent="0.3">
      <c r="A134" s="68">
        <f t="shared" si="8"/>
        <v>115</v>
      </c>
      <c r="B134" s="68">
        <v>12</v>
      </c>
      <c r="C134" s="68" t="s">
        <v>16</v>
      </c>
      <c r="D134" s="68" t="s">
        <v>17</v>
      </c>
      <c r="E134" s="69" t="s">
        <v>589</v>
      </c>
      <c r="F134" s="69" t="s">
        <v>580</v>
      </c>
      <c r="G134" s="69" t="s">
        <v>221</v>
      </c>
      <c r="H134" s="69" t="s">
        <v>222</v>
      </c>
      <c r="I134" s="69" t="s">
        <v>590</v>
      </c>
      <c r="J134" s="68"/>
      <c r="K134" s="68"/>
      <c r="L134" s="68" t="s">
        <v>18</v>
      </c>
      <c r="M134" s="68" t="s">
        <v>213</v>
      </c>
      <c r="N134" s="68"/>
      <c r="O134" s="68" t="s">
        <v>213</v>
      </c>
      <c r="P134" s="68" t="s">
        <v>213</v>
      </c>
      <c r="Q134" s="68" t="s">
        <v>214</v>
      </c>
      <c r="R134" s="68" t="s">
        <v>105</v>
      </c>
      <c r="S134" s="68" t="s">
        <v>591</v>
      </c>
    </row>
    <row r="135" spans="1:19" ht="60" customHeight="1" x14ac:dyDescent="0.3">
      <c r="A135" s="70">
        <f t="shared" si="8"/>
        <v>116</v>
      </c>
      <c r="B135" s="70">
        <v>12</v>
      </c>
      <c r="C135" s="71" t="s">
        <v>54</v>
      </c>
      <c r="D135" s="71" t="s">
        <v>17</v>
      </c>
      <c r="E135" s="72" t="s">
        <v>592</v>
      </c>
      <c r="F135" s="72" t="s">
        <v>580</v>
      </c>
      <c r="G135" s="72" t="s">
        <v>323</v>
      </c>
      <c r="H135" s="72" t="s">
        <v>324</v>
      </c>
      <c r="I135" s="72" t="s">
        <v>593</v>
      </c>
      <c r="J135" s="70"/>
      <c r="K135" s="70"/>
      <c r="L135" s="71" t="s">
        <v>18</v>
      </c>
      <c r="M135" s="70" t="s">
        <v>213</v>
      </c>
      <c r="N135" s="70"/>
      <c r="O135" s="70" t="s">
        <v>213</v>
      </c>
      <c r="P135" s="70" t="s">
        <v>213</v>
      </c>
      <c r="Q135" s="70" t="s">
        <v>214</v>
      </c>
      <c r="R135" s="70" t="s">
        <v>105</v>
      </c>
      <c r="S135" s="70" t="s">
        <v>594</v>
      </c>
    </row>
    <row r="136" spans="1:19" ht="60" customHeight="1" x14ac:dyDescent="0.3">
      <c r="A136" s="68">
        <f t="shared" si="8"/>
        <v>117</v>
      </c>
      <c r="B136" s="68">
        <v>12</v>
      </c>
      <c r="C136" s="68" t="s">
        <v>54</v>
      </c>
      <c r="D136" s="68" t="s">
        <v>17</v>
      </c>
      <c r="E136" s="69" t="s">
        <v>595</v>
      </c>
      <c r="F136" s="69" t="s">
        <v>580</v>
      </c>
      <c r="G136" s="69" t="s">
        <v>328</v>
      </c>
      <c r="H136" s="69" t="s">
        <v>329</v>
      </c>
      <c r="I136" s="69" t="s">
        <v>596</v>
      </c>
      <c r="J136" s="68"/>
      <c r="K136" s="68"/>
      <c r="L136" s="68" t="s">
        <v>18</v>
      </c>
      <c r="M136" s="68" t="s">
        <v>213</v>
      </c>
      <c r="N136" s="68"/>
      <c r="O136" s="68" t="s">
        <v>213</v>
      </c>
      <c r="P136" s="68" t="s">
        <v>213</v>
      </c>
      <c r="Q136" s="68" t="s">
        <v>214</v>
      </c>
      <c r="R136" s="68" t="s">
        <v>105</v>
      </c>
      <c r="S136" s="68" t="s">
        <v>597</v>
      </c>
    </row>
    <row r="137" spans="1:19" ht="60" customHeight="1" x14ac:dyDescent="0.3">
      <c r="A137" s="70">
        <f t="shared" si="8"/>
        <v>118</v>
      </c>
      <c r="B137" s="70">
        <v>12</v>
      </c>
      <c r="C137" s="71" t="s">
        <v>16</v>
      </c>
      <c r="D137" s="71" t="s">
        <v>17</v>
      </c>
      <c r="E137" s="72" t="s">
        <v>598</v>
      </c>
      <c r="F137" s="72" t="s">
        <v>580</v>
      </c>
      <c r="G137" s="72" t="s">
        <v>292</v>
      </c>
      <c r="H137" s="72" t="s">
        <v>293</v>
      </c>
      <c r="I137" s="72" t="s">
        <v>489</v>
      </c>
      <c r="J137" s="70"/>
      <c r="K137" s="70"/>
      <c r="L137" s="71" t="s">
        <v>18</v>
      </c>
      <c r="M137" s="70" t="s">
        <v>213</v>
      </c>
      <c r="N137" s="70"/>
      <c r="O137" s="70" t="s">
        <v>213</v>
      </c>
      <c r="P137" s="70" t="s">
        <v>213</v>
      </c>
      <c r="Q137" s="70" t="s">
        <v>214</v>
      </c>
      <c r="R137" s="70" t="s">
        <v>105</v>
      </c>
      <c r="S137" s="70" t="s">
        <v>599</v>
      </c>
    </row>
    <row r="138" spans="1:19" ht="60" customHeight="1" x14ac:dyDescent="0.3">
      <c r="A138" s="68">
        <f t="shared" si="8"/>
        <v>119</v>
      </c>
      <c r="B138" s="68">
        <v>12</v>
      </c>
      <c r="C138" s="68" t="s">
        <v>344</v>
      </c>
      <c r="D138" s="68" t="s">
        <v>17</v>
      </c>
      <c r="E138" s="69" t="s">
        <v>600</v>
      </c>
      <c r="F138" s="69" t="s">
        <v>580</v>
      </c>
      <c r="G138" s="69" t="s">
        <v>346</v>
      </c>
      <c r="H138" s="69" t="s">
        <v>347</v>
      </c>
      <c r="I138" s="69" t="s">
        <v>492</v>
      </c>
      <c r="J138" s="68"/>
      <c r="K138" s="68"/>
      <c r="L138" s="68" t="s">
        <v>18</v>
      </c>
      <c r="M138" s="68" t="s">
        <v>213</v>
      </c>
      <c r="N138" s="68"/>
      <c r="O138" s="68" t="s">
        <v>213</v>
      </c>
      <c r="P138" s="68" t="s">
        <v>213</v>
      </c>
      <c r="Q138" s="68" t="s">
        <v>214</v>
      </c>
      <c r="R138" s="68" t="s">
        <v>105</v>
      </c>
      <c r="S138" s="68" t="s">
        <v>601</v>
      </c>
    </row>
    <row r="139" spans="1:19" ht="60" customHeight="1" x14ac:dyDescent="0.3">
      <c r="A139" s="70">
        <f t="shared" si="8"/>
        <v>120</v>
      </c>
      <c r="B139" s="70">
        <v>12</v>
      </c>
      <c r="C139" s="71" t="s">
        <v>54</v>
      </c>
      <c r="D139" s="71" t="s">
        <v>17</v>
      </c>
      <c r="E139" s="72" t="s">
        <v>602</v>
      </c>
      <c r="F139" s="72" t="s">
        <v>580</v>
      </c>
      <c r="G139" s="72" t="s">
        <v>263</v>
      </c>
      <c r="H139" s="72" t="s">
        <v>264</v>
      </c>
      <c r="I139" s="72" t="s">
        <v>464</v>
      </c>
      <c r="J139" s="70"/>
      <c r="K139" s="70"/>
      <c r="L139" s="71" t="s">
        <v>18</v>
      </c>
      <c r="M139" s="70" t="s">
        <v>213</v>
      </c>
      <c r="N139" s="70"/>
      <c r="O139" s="70" t="s">
        <v>213</v>
      </c>
      <c r="P139" s="70" t="s">
        <v>213</v>
      </c>
      <c r="Q139" s="70" t="s">
        <v>214</v>
      </c>
      <c r="R139" s="70" t="s">
        <v>105</v>
      </c>
      <c r="S139" s="70" t="s">
        <v>603</v>
      </c>
    </row>
    <row r="140" spans="1:19" ht="19.5" customHeight="1" x14ac:dyDescent="0.3">
      <c r="A140" s="6" t="s">
        <v>604</v>
      </c>
      <c r="B140" s="6"/>
      <c r="C140" s="6"/>
      <c r="D140" s="6"/>
      <c r="E140" s="6"/>
      <c r="F140" s="6"/>
      <c r="G140" s="6"/>
      <c r="H140" s="6"/>
      <c r="I140" s="6"/>
      <c r="J140" s="6"/>
      <c r="K140" s="6"/>
      <c r="L140" s="6"/>
      <c r="M140" s="6"/>
      <c r="N140" s="6"/>
      <c r="O140" s="6"/>
      <c r="P140" s="6"/>
      <c r="Q140" s="6"/>
      <c r="R140" s="5"/>
      <c r="S140" s="5"/>
    </row>
    <row r="141" spans="1:19" ht="60" customHeight="1" x14ac:dyDescent="0.3">
      <c r="A141" s="68">
        <f>A139+1</f>
        <v>121</v>
      </c>
      <c r="B141" s="68">
        <v>13</v>
      </c>
      <c r="C141" s="68" t="s">
        <v>16</v>
      </c>
      <c r="D141" s="68" t="s">
        <v>17</v>
      </c>
      <c r="E141" s="69" t="s">
        <v>605</v>
      </c>
      <c r="F141" s="69" t="s">
        <v>606</v>
      </c>
      <c r="G141" s="69" t="s">
        <v>292</v>
      </c>
      <c r="H141" s="69" t="s">
        <v>305</v>
      </c>
      <c r="I141" s="69" t="s">
        <v>607</v>
      </c>
      <c r="J141" s="68"/>
      <c r="K141" s="68"/>
      <c r="L141" s="68" t="s">
        <v>18</v>
      </c>
      <c r="M141" s="68" t="s">
        <v>213</v>
      </c>
      <c r="N141" s="68"/>
      <c r="O141" s="68" t="s">
        <v>213</v>
      </c>
      <c r="P141" s="68" t="s">
        <v>213</v>
      </c>
      <c r="Q141" s="68" t="s">
        <v>214</v>
      </c>
      <c r="R141" s="68" t="s">
        <v>110</v>
      </c>
      <c r="S141" s="68" t="s">
        <v>608</v>
      </c>
    </row>
    <row r="142" spans="1:19" ht="60" customHeight="1" x14ac:dyDescent="0.3">
      <c r="A142" s="70">
        <f t="shared" ref="A142:A151" si="9">A141+1</f>
        <v>122</v>
      </c>
      <c r="B142" s="70">
        <v>13</v>
      </c>
      <c r="C142" s="71" t="s">
        <v>16</v>
      </c>
      <c r="D142" s="71" t="s">
        <v>17</v>
      </c>
      <c r="E142" s="72" t="s">
        <v>609</v>
      </c>
      <c r="F142" s="72" t="s">
        <v>606</v>
      </c>
      <c r="G142" s="72" t="s">
        <v>292</v>
      </c>
      <c r="H142" s="72" t="s">
        <v>305</v>
      </c>
      <c r="I142" s="72" t="s">
        <v>610</v>
      </c>
      <c r="J142" s="70"/>
      <c r="K142" s="70"/>
      <c r="L142" s="71" t="s">
        <v>18</v>
      </c>
      <c r="M142" s="70" t="s">
        <v>213</v>
      </c>
      <c r="N142" s="70"/>
      <c r="O142" s="70" t="s">
        <v>213</v>
      </c>
      <c r="P142" s="70" t="s">
        <v>213</v>
      </c>
      <c r="Q142" s="70" t="s">
        <v>214</v>
      </c>
      <c r="R142" s="70" t="s">
        <v>110</v>
      </c>
      <c r="S142" s="70" t="s">
        <v>611</v>
      </c>
    </row>
    <row r="143" spans="1:19" ht="60" customHeight="1" x14ac:dyDescent="0.3">
      <c r="A143" s="68">
        <f t="shared" si="9"/>
        <v>123</v>
      </c>
      <c r="B143" s="68">
        <v>13</v>
      </c>
      <c r="C143" s="68" t="s">
        <v>16</v>
      </c>
      <c r="D143" s="68" t="s">
        <v>17</v>
      </c>
      <c r="E143" s="69" t="s">
        <v>612</v>
      </c>
      <c r="F143" s="69" t="s">
        <v>606</v>
      </c>
      <c r="G143" s="69" t="s">
        <v>315</v>
      </c>
      <c r="H143" s="69" t="s">
        <v>316</v>
      </c>
      <c r="I143" s="69" t="s">
        <v>613</v>
      </c>
      <c r="J143" s="68"/>
      <c r="K143" s="68"/>
      <c r="L143" s="68" t="s">
        <v>18</v>
      </c>
      <c r="M143" s="68" t="s">
        <v>213</v>
      </c>
      <c r="N143" s="68"/>
      <c r="O143" s="68" t="s">
        <v>213</v>
      </c>
      <c r="P143" s="68" t="s">
        <v>213</v>
      </c>
      <c r="Q143" s="68" t="s">
        <v>214</v>
      </c>
      <c r="R143" s="68" t="s">
        <v>110</v>
      </c>
      <c r="S143" s="68" t="s">
        <v>614</v>
      </c>
    </row>
    <row r="144" spans="1:19" ht="60" customHeight="1" x14ac:dyDescent="0.3">
      <c r="A144" s="70">
        <f t="shared" si="9"/>
        <v>124</v>
      </c>
      <c r="B144" s="70">
        <v>13</v>
      </c>
      <c r="C144" s="71" t="s">
        <v>16</v>
      </c>
      <c r="D144" s="71" t="s">
        <v>17</v>
      </c>
      <c r="E144" s="72" t="s">
        <v>615</v>
      </c>
      <c r="F144" s="72" t="s">
        <v>606</v>
      </c>
      <c r="G144" s="72" t="s">
        <v>221</v>
      </c>
      <c r="H144" s="72" t="s">
        <v>222</v>
      </c>
      <c r="I144" s="72" t="s">
        <v>616</v>
      </c>
      <c r="J144" s="70"/>
      <c r="K144" s="70"/>
      <c r="L144" s="71" t="s">
        <v>18</v>
      </c>
      <c r="M144" s="70" t="s">
        <v>213</v>
      </c>
      <c r="N144" s="70"/>
      <c r="O144" s="70" t="s">
        <v>213</v>
      </c>
      <c r="P144" s="70" t="s">
        <v>213</v>
      </c>
      <c r="Q144" s="70" t="s">
        <v>214</v>
      </c>
      <c r="R144" s="70" t="s">
        <v>110</v>
      </c>
      <c r="S144" s="70" t="s">
        <v>617</v>
      </c>
    </row>
    <row r="145" spans="1:19" ht="60" customHeight="1" x14ac:dyDescent="0.3">
      <c r="A145" s="68">
        <f t="shared" si="9"/>
        <v>125</v>
      </c>
      <c r="B145" s="68">
        <v>13</v>
      </c>
      <c r="C145" s="68" t="s">
        <v>54</v>
      </c>
      <c r="D145" s="68" t="s">
        <v>17</v>
      </c>
      <c r="E145" s="69" t="s">
        <v>618</v>
      </c>
      <c r="F145" s="69" t="s">
        <v>606</v>
      </c>
      <c r="G145" s="69" t="s">
        <v>323</v>
      </c>
      <c r="H145" s="69" t="s">
        <v>324</v>
      </c>
      <c r="I145" s="69" t="s">
        <v>619</v>
      </c>
      <c r="J145" s="68"/>
      <c r="K145" s="68"/>
      <c r="L145" s="68" t="s">
        <v>18</v>
      </c>
      <c r="M145" s="68" t="s">
        <v>213</v>
      </c>
      <c r="N145" s="68"/>
      <c r="O145" s="68" t="s">
        <v>213</v>
      </c>
      <c r="P145" s="68" t="s">
        <v>213</v>
      </c>
      <c r="Q145" s="68" t="s">
        <v>214</v>
      </c>
      <c r="R145" s="68" t="s">
        <v>110</v>
      </c>
      <c r="S145" s="68" t="s">
        <v>620</v>
      </c>
    </row>
    <row r="146" spans="1:19" ht="60" customHeight="1" x14ac:dyDescent="0.3">
      <c r="A146" s="70">
        <f t="shared" si="9"/>
        <v>126</v>
      </c>
      <c r="B146" s="70">
        <v>13</v>
      </c>
      <c r="C146" s="71" t="s">
        <v>54</v>
      </c>
      <c r="D146" s="71" t="s">
        <v>17</v>
      </c>
      <c r="E146" s="72" t="s">
        <v>621</v>
      </c>
      <c r="F146" s="72" t="s">
        <v>606</v>
      </c>
      <c r="G146" s="72" t="s">
        <v>328</v>
      </c>
      <c r="H146" s="72" t="s">
        <v>329</v>
      </c>
      <c r="I146" s="72" t="s">
        <v>622</v>
      </c>
      <c r="J146" s="70"/>
      <c r="K146" s="70"/>
      <c r="L146" s="71" t="s">
        <v>18</v>
      </c>
      <c r="M146" s="70" t="s">
        <v>213</v>
      </c>
      <c r="N146" s="70"/>
      <c r="O146" s="70" t="s">
        <v>213</v>
      </c>
      <c r="P146" s="70" t="s">
        <v>213</v>
      </c>
      <c r="Q146" s="70" t="s">
        <v>214</v>
      </c>
      <c r="R146" s="70" t="s">
        <v>110</v>
      </c>
      <c r="S146" s="70" t="s">
        <v>623</v>
      </c>
    </row>
    <row r="147" spans="1:19" ht="60" customHeight="1" x14ac:dyDescent="0.3">
      <c r="A147" s="68">
        <f t="shared" si="9"/>
        <v>127</v>
      </c>
      <c r="B147" s="68">
        <v>13</v>
      </c>
      <c r="C147" s="68" t="s">
        <v>54</v>
      </c>
      <c r="D147" s="68" t="s">
        <v>17</v>
      </c>
      <c r="E147" s="69" t="s">
        <v>624</v>
      </c>
      <c r="F147" s="69" t="s">
        <v>606</v>
      </c>
      <c r="G147" s="69" t="s">
        <v>263</v>
      </c>
      <c r="H147" s="69" t="s">
        <v>264</v>
      </c>
      <c r="I147" s="69" t="s">
        <v>625</v>
      </c>
      <c r="J147" s="68"/>
      <c r="K147" s="68"/>
      <c r="L147" s="68" t="s">
        <v>18</v>
      </c>
      <c r="M147" s="68" t="s">
        <v>213</v>
      </c>
      <c r="N147" s="68"/>
      <c r="O147" s="68" t="s">
        <v>213</v>
      </c>
      <c r="P147" s="68" t="s">
        <v>213</v>
      </c>
      <c r="Q147" s="68" t="s">
        <v>214</v>
      </c>
      <c r="R147" s="68" t="s">
        <v>110</v>
      </c>
      <c r="S147" s="68" t="s">
        <v>626</v>
      </c>
    </row>
    <row r="148" spans="1:19" ht="60" customHeight="1" x14ac:dyDescent="0.3">
      <c r="A148" s="70">
        <f t="shared" si="9"/>
        <v>128</v>
      </c>
      <c r="B148" s="70">
        <v>13</v>
      </c>
      <c r="C148" s="71" t="s">
        <v>54</v>
      </c>
      <c r="D148" s="71" t="s">
        <v>17</v>
      </c>
      <c r="E148" s="72" t="s">
        <v>627</v>
      </c>
      <c r="F148" s="72" t="s">
        <v>606</v>
      </c>
      <c r="G148" s="72" t="s">
        <v>263</v>
      </c>
      <c r="H148" s="72" t="s">
        <v>264</v>
      </c>
      <c r="I148" s="72" t="s">
        <v>464</v>
      </c>
      <c r="J148" s="70"/>
      <c r="K148" s="70"/>
      <c r="L148" s="71" t="s">
        <v>18</v>
      </c>
      <c r="M148" s="70" t="s">
        <v>213</v>
      </c>
      <c r="N148" s="70"/>
      <c r="O148" s="70" t="s">
        <v>213</v>
      </c>
      <c r="P148" s="70" t="s">
        <v>213</v>
      </c>
      <c r="Q148" s="70" t="s">
        <v>214</v>
      </c>
      <c r="R148" s="70" t="s">
        <v>110</v>
      </c>
      <c r="S148" s="70" t="s">
        <v>628</v>
      </c>
    </row>
    <row r="149" spans="1:19" ht="60" customHeight="1" x14ac:dyDescent="0.3">
      <c r="A149" s="68">
        <f t="shared" si="9"/>
        <v>129</v>
      </c>
      <c r="B149" s="68">
        <v>13</v>
      </c>
      <c r="C149" s="68" t="s">
        <v>54</v>
      </c>
      <c r="D149" s="68" t="s">
        <v>17</v>
      </c>
      <c r="E149" s="69" t="s">
        <v>629</v>
      </c>
      <c r="F149" s="69" t="s">
        <v>606</v>
      </c>
      <c r="G149" s="69" t="s">
        <v>263</v>
      </c>
      <c r="H149" s="69" t="s">
        <v>264</v>
      </c>
      <c r="I149" s="69" t="s">
        <v>630</v>
      </c>
      <c r="J149" s="68"/>
      <c r="K149" s="68"/>
      <c r="L149" s="68" t="s">
        <v>18</v>
      </c>
      <c r="M149" s="68" t="s">
        <v>213</v>
      </c>
      <c r="N149" s="68"/>
      <c r="O149" s="68" t="s">
        <v>213</v>
      </c>
      <c r="P149" s="68" t="s">
        <v>213</v>
      </c>
      <c r="Q149" s="68" t="s">
        <v>214</v>
      </c>
      <c r="R149" s="68" t="s">
        <v>110</v>
      </c>
      <c r="S149" s="68" t="s">
        <v>631</v>
      </c>
    </row>
    <row r="150" spans="1:19" ht="60" customHeight="1" x14ac:dyDescent="0.3">
      <c r="A150" s="70">
        <f t="shared" si="9"/>
        <v>130</v>
      </c>
      <c r="B150" s="70">
        <v>13</v>
      </c>
      <c r="C150" s="71" t="s">
        <v>16</v>
      </c>
      <c r="D150" s="71" t="s">
        <v>17</v>
      </c>
      <c r="E150" s="72" t="s">
        <v>632</v>
      </c>
      <c r="F150" s="72" t="s">
        <v>606</v>
      </c>
      <c r="G150" s="72" t="s">
        <v>292</v>
      </c>
      <c r="H150" s="72" t="s">
        <v>293</v>
      </c>
      <c r="I150" s="72" t="s">
        <v>489</v>
      </c>
      <c r="J150" s="70"/>
      <c r="K150" s="70"/>
      <c r="L150" s="71" t="s">
        <v>18</v>
      </c>
      <c r="M150" s="70" t="s">
        <v>213</v>
      </c>
      <c r="N150" s="70"/>
      <c r="O150" s="70" t="s">
        <v>213</v>
      </c>
      <c r="P150" s="70" t="s">
        <v>213</v>
      </c>
      <c r="Q150" s="70" t="s">
        <v>214</v>
      </c>
      <c r="R150" s="70" t="s">
        <v>110</v>
      </c>
      <c r="S150" s="70" t="s">
        <v>633</v>
      </c>
    </row>
    <row r="151" spans="1:19" ht="60" customHeight="1" x14ac:dyDescent="0.3">
      <c r="A151" s="68">
        <f t="shared" si="9"/>
        <v>131</v>
      </c>
      <c r="B151" s="68">
        <v>13</v>
      </c>
      <c r="C151" s="68" t="s">
        <v>344</v>
      </c>
      <c r="D151" s="68" t="s">
        <v>17</v>
      </c>
      <c r="E151" s="69" t="s">
        <v>634</v>
      </c>
      <c r="F151" s="69" t="s">
        <v>606</v>
      </c>
      <c r="G151" s="69" t="s">
        <v>346</v>
      </c>
      <c r="H151" s="69" t="s">
        <v>347</v>
      </c>
      <c r="I151" s="69" t="s">
        <v>492</v>
      </c>
      <c r="J151" s="68"/>
      <c r="K151" s="68"/>
      <c r="L151" s="68" t="s">
        <v>18</v>
      </c>
      <c r="M151" s="68" t="s">
        <v>213</v>
      </c>
      <c r="N151" s="68"/>
      <c r="O151" s="68" t="s">
        <v>213</v>
      </c>
      <c r="P151" s="68" t="s">
        <v>213</v>
      </c>
      <c r="Q151" s="68" t="s">
        <v>214</v>
      </c>
      <c r="R151" s="68" t="s">
        <v>110</v>
      </c>
      <c r="S151" s="68" t="s">
        <v>635</v>
      </c>
    </row>
    <row r="152" spans="1:19" ht="19.5" customHeight="1" x14ac:dyDescent="0.3">
      <c r="A152" s="6" t="s">
        <v>636</v>
      </c>
      <c r="B152" s="6"/>
      <c r="C152" s="6"/>
      <c r="D152" s="6"/>
      <c r="E152" s="6"/>
      <c r="F152" s="6"/>
      <c r="G152" s="6"/>
      <c r="H152" s="6"/>
      <c r="I152" s="6"/>
      <c r="J152" s="6"/>
      <c r="K152" s="6"/>
      <c r="L152" s="6"/>
      <c r="M152" s="6"/>
      <c r="N152" s="6"/>
      <c r="O152" s="6"/>
      <c r="P152" s="6"/>
      <c r="Q152" s="6"/>
      <c r="R152" s="5"/>
      <c r="S152" s="5"/>
    </row>
    <row r="153" spans="1:19" ht="60" customHeight="1" x14ac:dyDescent="0.3">
      <c r="A153" s="70">
        <f>A151+1</f>
        <v>132</v>
      </c>
      <c r="B153" s="70">
        <v>14</v>
      </c>
      <c r="C153" s="71" t="s">
        <v>54</v>
      </c>
      <c r="D153" s="71" t="s">
        <v>17</v>
      </c>
      <c r="E153" s="72" t="s">
        <v>637</v>
      </c>
      <c r="F153" s="72" t="s">
        <v>638</v>
      </c>
      <c r="G153" s="72" t="s">
        <v>240</v>
      </c>
      <c r="H153" s="72" t="s">
        <v>241</v>
      </c>
      <c r="I153" s="72" t="s">
        <v>639</v>
      </c>
      <c r="J153" s="70"/>
      <c r="K153" s="70"/>
      <c r="L153" s="71" t="s">
        <v>18</v>
      </c>
      <c r="M153" s="70" t="s">
        <v>213</v>
      </c>
      <c r="N153" s="70"/>
      <c r="O153" s="70" t="s">
        <v>213</v>
      </c>
      <c r="P153" s="70" t="s">
        <v>213</v>
      </c>
      <c r="Q153" s="70" t="s">
        <v>214</v>
      </c>
      <c r="R153" s="70" t="s">
        <v>115</v>
      </c>
      <c r="S153" s="70" t="s">
        <v>640</v>
      </c>
    </row>
    <row r="154" spans="1:19" ht="60" customHeight="1" x14ac:dyDescent="0.3">
      <c r="A154" s="68">
        <f>A153+1</f>
        <v>133</v>
      </c>
      <c r="B154" s="68">
        <v>14</v>
      </c>
      <c r="C154" s="68" t="s">
        <v>54</v>
      </c>
      <c r="D154" s="68" t="s">
        <v>17</v>
      </c>
      <c r="E154" s="69" t="s">
        <v>641</v>
      </c>
      <c r="F154" s="69" t="s">
        <v>638</v>
      </c>
      <c r="G154" s="69" t="s">
        <v>240</v>
      </c>
      <c r="H154" s="69" t="s">
        <v>241</v>
      </c>
      <c r="I154" s="69" t="s">
        <v>418</v>
      </c>
      <c r="J154" s="68"/>
      <c r="K154" s="68"/>
      <c r="L154" s="68" t="s">
        <v>18</v>
      </c>
      <c r="M154" s="68" t="s">
        <v>213</v>
      </c>
      <c r="N154" s="68"/>
      <c r="O154" s="68" t="s">
        <v>213</v>
      </c>
      <c r="P154" s="68" t="s">
        <v>213</v>
      </c>
      <c r="Q154" s="68" t="s">
        <v>214</v>
      </c>
      <c r="R154" s="68" t="s">
        <v>115</v>
      </c>
      <c r="S154" s="68" t="s">
        <v>642</v>
      </c>
    </row>
    <row r="155" spans="1:19" ht="60" customHeight="1" x14ac:dyDescent="0.3">
      <c r="A155" s="70">
        <f>A154+1</f>
        <v>134</v>
      </c>
      <c r="B155" s="70">
        <v>14</v>
      </c>
      <c r="C155" s="71" t="s">
        <v>54</v>
      </c>
      <c r="D155" s="71" t="s">
        <v>17</v>
      </c>
      <c r="E155" s="72" t="s">
        <v>643</v>
      </c>
      <c r="F155" s="72" t="s">
        <v>638</v>
      </c>
      <c r="G155" s="72" t="s">
        <v>240</v>
      </c>
      <c r="H155" s="72" t="s">
        <v>241</v>
      </c>
      <c r="I155" s="72" t="s">
        <v>339</v>
      </c>
      <c r="J155" s="70"/>
      <c r="K155" s="70"/>
      <c r="L155" s="71" t="s">
        <v>18</v>
      </c>
      <c r="M155" s="70" t="s">
        <v>213</v>
      </c>
      <c r="N155" s="70"/>
      <c r="O155" s="70" t="s">
        <v>213</v>
      </c>
      <c r="P155" s="70" t="s">
        <v>213</v>
      </c>
      <c r="Q155" s="70" t="s">
        <v>214</v>
      </c>
      <c r="R155" s="70" t="s">
        <v>115</v>
      </c>
      <c r="S155" s="70" t="s">
        <v>644</v>
      </c>
    </row>
    <row r="156" spans="1:19" ht="60" customHeight="1" x14ac:dyDescent="0.3">
      <c r="A156" s="68">
        <f>A155+1</f>
        <v>135</v>
      </c>
      <c r="B156" s="68">
        <v>14</v>
      </c>
      <c r="C156" s="68" t="s">
        <v>54</v>
      </c>
      <c r="D156" s="68" t="s">
        <v>17</v>
      </c>
      <c r="E156" s="69" t="s">
        <v>645</v>
      </c>
      <c r="F156" s="69" t="s">
        <v>638</v>
      </c>
      <c r="G156" s="69" t="s">
        <v>240</v>
      </c>
      <c r="H156" s="69" t="s">
        <v>241</v>
      </c>
      <c r="I156" s="69" t="s">
        <v>646</v>
      </c>
      <c r="J156" s="68"/>
      <c r="K156" s="68"/>
      <c r="L156" s="68" t="s">
        <v>18</v>
      </c>
      <c r="M156" s="68" t="s">
        <v>213</v>
      </c>
      <c r="N156" s="68"/>
      <c r="O156" s="68" t="s">
        <v>213</v>
      </c>
      <c r="P156" s="68" t="s">
        <v>213</v>
      </c>
      <c r="Q156" s="68" t="s">
        <v>214</v>
      </c>
      <c r="R156" s="68" t="s">
        <v>115</v>
      </c>
      <c r="S156" s="68" t="s">
        <v>647</v>
      </c>
    </row>
    <row r="157" spans="1:19" ht="60" customHeight="1" x14ac:dyDescent="0.3">
      <c r="A157" s="70">
        <f>A156+1</f>
        <v>136</v>
      </c>
      <c r="B157" s="70">
        <v>14</v>
      </c>
      <c r="C157" s="71" t="s">
        <v>54</v>
      </c>
      <c r="D157" s="71" t="s">
        <v>17</v>
      </c>
      <c r="E157" s="72" t="s">
        <v>648</v>
      </c>
      <c r="F157" s="72" t="s">
        <v>638</v>
      </c>
      <c r="G157" s="72" t="s">
        <v>328</v>
      </c>
      <c r="H157" s="72" t="s">
        <v>329</v>
      </c>
      <c r="I157" s="72" t="s">
        <v>649</v>
      </c>
      <c r="J157" s="70"/>
      <c r="K157" s="70"/>
      <c r="L157" s="71" t="s">
        <v>18</v>
      </c>
      <c r="M157" s="70" t="s">
        <v>213</v>
      </c>
      <c r="N157" s="70"/>
      <c r="O157" s="70" t="s">
        <v>213</v>
      </c>
      <c r="P157" s="70" t="s">
        <v>213</v>
      </c>
      <c r="Q157" s="70" t="s">
        <v>214</v>
      </c>
      <c r="R157" s="70" t="s">
        <v>115</v>
      </c>
      <c r="S157" s="70" t="s">
        <v>650</v>
      </c>
    </row>
    <row r="158" spans="1:19" ht="60" customHeight="1" x14ac:dyDescent="0.3">
      <c r="A158" s="68">
        <f>A157+1</f>
        <v>137</v>
      </c>
      <c r="B158" s="68">
        <v>14</v>
      </c>
      <c r="C158" s="68" t="s">
        <v>54</v>
      </c>
      <c r="D158" s="68" t="s">
        <v>17</v>
      </c>
      <c r="E158" s="69" t="s">
        <v>651</v>
      </c>
      <c r="F158" s="69" t="s">
        <v>638</v>
      </c>
      <c r="G158" s="69" t="s">
        <v>240</v>
      </c>
      <c r="H158" s="69" t="s">
        <v>241</v>
      </c>
      <c r="I158" s="69" t="s">
        <v>652</v>
      </c>
      <c r="J158" s="68"/>
      <c r="K158" s="68"/>
      <c r="L158" s="68" t="s">
        <v>18</v>
      </c>
      <c r="M158" s="68" t="s">
        <v>213</v>
      </c>
      <c r="N158" s="68"/>
      <c r="O158" s="68" t="s">
        <v>213</v>
      </c>
      <c r="P158" s="68" t="s">
        <v>213</v>
      </c>
      <c r="Q158" s="68" t="s">
        <v>214</v>
      </c>
      <c r="R158" s="68" t="s">
        <v>115</v>
      </c>
      <c r="S158" s="68" t="s">
        <v>653</v>
      </c>
    </row>
    <row r="159" spans="1:19" ht="19.5" customHeight="1" x14ac:dyDescent="0.3">
      <c r="A159" s="6" t="s">
        <v>654</v>
      </c>
      <c r="B159" s="6"/>
      <c r="C159" s="6"/>
      <c r="D159" s="6"/>
      <c r="E159" s="6"/>
      <c r="F159" s="6"/>
      <c r="G159" s="6"/>
      <c r="H159" s="6"/>
      <c r="I159" s="6"/>
      <c r="J159" s="6"/>
      <c r="K159" s="6"/>
      <c r="L159" s="6"/>
      <c r="M159" s="6"/>
      <c r="N159" s="6"/>
      <c r="O159" s="6"/>
      <c r="P159" s="6"/>
      <c r="Q159" s="6"/>
      <c r="R159" s="5"/>
      <c r="S159" s="5"/>
    </row>
    <row r="160" spans="1:19" ht="60" customHeight="1" x14ac:dyDescent="0.3">
      <c r="A160" s="70">
        <f>A158+1</f>
        <v>138</v>
      </c>
      <c r="B160" s="70">
        <v>15</v>
      </c>
      <c r="C160" s="71" t="s">
        <v>16</v>
      </c>
      <c r="D160" s="71" t="s">
        <v>17</v>
      </c>
      <c r="E160" s="72" t="s">
        <v>655</v>
      </c>
      <c r="F160" s="72" t="s">
        <v>656</v>
      </c>
      <c r="G160" s="72" t="s">
        <v>292</v>
      </c>
      <c r="H160" s="72" t="s">
        <v>305</v>
      </c>
      <c r="I160" s="72" t="s">
        <v>657</v>
      </c>
      <c r="J160" s="70"/>
      <c r="K160" s="70"/>
      <c r="L160" s="71" t="s">
        <v>18</v>
      </c>
      <c r="M160" s="70" t="s">
        <v>213</v>
      </c>
      <c r="N160" s="70"/>
      <c r="O160" s="70" t="s">
        <v>213</v>
      </c>
      <c r="P160" s="70" t="s">
        <v>213</v>
      </c>
      <c r="Q160" s="70" t="s">
        <v>214</v>
      </c>
      <c r="R160" s="70" t="s">
        <v>120</v>
      </c>
      <c r="S160" s="70" t="s">
        <v>658</v>
      </c>
    </row>
    <row r="161" spans="1:19" ht="60" customHeight="1" x14ac:dyDescent="0.3">
      <c r="A161" s="68">
        <f t="shared" ref="A161:A172" si="10">A160+1</f>
        <v>139</v>
      </c>
      <c r="B161" s="68">
        <v>15</v>
      </c>
      <c r="C161" s="68" t="s">
        <v>16</v>
      </c>
      <c r="D161" s="68" t="s">
        <v>17</v>
      </c>
      <c r="E161" s="69" t="s">
        <v>659</v>
      </c>
      <c r="F161" s="69" t="s">
        <v>656</v>
      </c>
      <c r="G161" s="69" t="s">
        <v>292</v>
      </c>
      <c r="H161" s="69" t="s">
        <v>305</v>
      </c>
      <c r="I161" s="69" t="s">
        <v>660</v>
      </c>
      <c r="J161" s="68"/>
      <c r="K161" s="68"/>
      <c r="L161" s="68" t="s">
        <v>18</v>
      </c>
      <c r="M161" s="68" t="s">
        <v>213</v>
      </c>
      <c r="N161" s="68"/>
      <c r="O161" s="68" t="s">
        <v>213</v>
      </c>
      <c r="P161" s="68" t="s">
        <v>213</v>
      </c>
      <c r="Q161" s="68" t="s">
        <v>214</v>
      </c>
      <c r="R161" s="68" t="s">
        <v>120</v>
      </c>
      <c r="S161" s="68" t="s">
        <v>661</v>
      </c>
    </row>
    <row r="162" spans="1:19" ht="60" customHeight="1" x14ac:dyDescent="0.3">
      <c r="A162" s="70">
        <f t="shared" si="10"/>
        <v>140</v>
      </c>
      <c r="B162" s="70">
        <v>15</v>
      </c>
      <c r="C162" s="71" t="s">
        <v>16</v>
      </c>
      <c r="D162" s="71" t="s">
        <v>17</v>
      </c>
      <c r="E162" s="72" t="s">
        <v>662</v>
      </c>
      <c r="F162" s="72" t="s">
        <v>656</v>
      </c>
      <c r="G162" s="72" t="s">
        <v>315</v>
      </c>
      <c r="H162" s="72" t="s">
        <v>316</v>
      </c>
      <c r="I162" s="72" t="s">
        <v>663</v>
      </c>
      <c r="J162" s="70"/>
      <c r="K162" s="70"/>
      <c r="L162" s="71" t="s">
        <v>18</v>
      </c>
      <c r="M162" s="70" t="s">
        <v>213</v>
      </c>
      <c r="N162" s="70"/>
      <c r="O162" s="70" t="s">
        <v>213</v>
      </c>
      <c r="P162" s="70" t="s">
        <v>213</v>
      </c>
      <c r="Q162" s="70" t="s">
        <v>214</v>
      </c>
      <c r="R162" s="70" t="s">
        <v>120</v>
      </c>
      <c r="S162" s="70" t="s">
        <v>664</v>
      </c>
    </row>
    <row r="163" spans="1:19" ht="60" customHeight="1" x14ac:dyDescent="0.3">
      <c r="A163" s="68">
        <f t="shared" si="10"/>
        <v>141</v>
      </c>
      <c r="B163" s="68">
        <v>15</v>
      </c>
      <c r="C163" s="68" t="s">
        <v>16</v>
      </c>
      <c r="D163" s="68" t="s">
        <v>17</v>
      </c>
      <c r="E163" s="69" t="s">
        <v>665</v>
      </c>
      <c r="F163" s="69" t="s">
        <v>656</v>
      </c>
      <c r="G163" s="69" t="s">
        <v>221</v>
      </c>
      <c r="H163" s="69" t="s">
        <v>222</v>
      </c>
      <c r="I163" s="69" t="s">
        <v>666</v>
      </c>
      <c r="J163" s="68"/>
      <c r="K163" s="68"/>
      <c r="L163" s="68" t="s">
        <v>18</v>
      </c>
      <c r="M163" s="68" t="s">
        <v>213</v>
      </c>
      <c r="N163" s="68"/>
      <c r="O163" s="68" t="s">
        <v>213</v>
      </c>
      <c r="P163" s="68" t="s">
        <v>213</v>
      </c>
      <c r="Q163" s="68" t="s">
        <v>214</v>
      </c>
      <c r="R163" s="68" t="s">
        <v>120</v>
      </c>
      <c r="S163" s="68" t="s">
        <v>667</v>
      </c>
    </row>
    <row r="164" spans="1:19" ht="60" customHeight="1" x14ac:dyDescent="0.3">
      <c r="A164" s="70">
        <f t="shared" si="10"/>
        <v>142</v>
      </c>
      <c r="B164" s="70">
        <v>15</v>
      </c>
      <c r="C164" s="71" t="s">
        <v>54</v>
      </c>
      <c r="D164" s="71" t="s">
        <v>17</v>
      </c>
      <c r="E164" s="72" t="s">
        <v>668</v>
      </c>
      <c r="F164" s="72" t="s">
        <v>656</v>
      </c>
      <c r="G164" s="72" t="s">
        <v>323</v>
      </c>
      <c r="H164" s="72" t="s">
        <v>324</v>
      </c>
      <c r="I164" s="72" t="s">
        <v>669</v>
      </c>
      <c r="J164" s="70"/>
      <c r="K164" s="70"/>
      <c r="L164" s="71" t="s">
        <v>18</v>
      </c>
      <c r="M164" s="70" t="s">
        <v>213</v>
      </c>
      <c r="N164" s="70"/>
      <c r="O164" s="70" t="s">
        <v>213</v>
      </c>
      <c r="P164" s="70" t="s">
        <v>213</v>
      </c>
      <c r="Q164" s="70" t="s">
        <v>214</v>
      </c>
      <c r="R164" s="70" t="s">
        <v>120</v>
      </c>
      <c r="S164" s="70" t="s">
        <v>670</v>
      </c>
    </row>
    <row r="165" spans="1:19" ht="60" customHeight="1" x14ac:dyDescent="0.3">
      <c r="A165" s="68">
        <f t="shared" si="10"/>
        <v>143</v>
      </c>
      <c r="B165" s="68">
        <v>15</v>
      </c>
      <c r="C165" s="68" t="s">
        <v>54</v>
      </c>
      <c r="D165" s="68" t="s">
        <v>17</v>
      </c>
      <c r="E165" s="69" t="s">
        <v>671</v>
      </c>
      <c r="F165" s="69" t="s">
        <v>656</v>
      </c>
      <c r="G165" s="69" t="s">
        <v>328</v>
      </c>
      <c r="H165" s="69" t="s">
        <v>329</v>
      </c>
      <c r="I165" s="69" t="s">
        <v>672</v>
      </c>
      <c r="J165" s="68"/>
      <c r="K165" s="68"/>
      <c r="L165" s="68" t="s">
        <v>18</v>
      </c>
      <c r="M165" s="68" t="s">
        <v>213</v>
      </c>
      <c r="N165" s="68"/>
      <c r="O165" s="68" t="s">
        <v>213</v>
      </c>
      <c r="P165" s="68" t="s">
        <v>213</v>
      </c>
      <c r="Q165" s="68" t="s">
        <v>214</v>
      </c>
      <c r="R165" s="68" t="s">
        <v>120</v>
      </c>
      <c r="S165" s="68" t="s">
        <v>673</v>
      </c>
    </row>
    <row r="166" spans="1:19" ht="60" customHeight="1" x14ac:dyDescent="0.3">
      <c r="A166" s="70">
        <f t="shared" si="10"/>
        <v>144</v>
      </c>
      <c r="B166" s="70">
        <v>15</v>
      </c>
      <c r="C166" s="71" t="s">
        <v>16</v>
      </c>
      <c r="D166" s="71" t="s">
        <v>17</v>
      </c>
      <c r="E166" s="72" t="s">
        <v>674</v>
      </c>
      <c r="F166" s="72" t="s">
        <v>656</v>
      </c>
      <c r="G166" s="72" t="s">
        <v>292</v>
      </c>
      <c r="H166" s="72" t="s">
        <v>293</v>
      </c>
      <c r="I166" s="72" t="s">
        <v>489</v>
      </c>
      <c r="J166" s="70"/>
      <c r="K166" s="70"/>
      <c r="L166" s="71" t="s">
        <v>18</v>
      </c>
      <c r="M166" s="70" t="s">
        <v>213</v>
      </c>
      <c r="N166" s="70"/>
      <c r="O166" s="70" t="s">
        <v>213</v>
      </c>
      <c r="P166" s="70" t="s">
        <v>213</v>
      </c>
      <c r="Q166" s="70" t="s">
        <v>214</v>
      </c>
      <c r="R166" s="70" t="s">
        <v>120</v>
      </c>
      <c r="S166" s="70" t="s">
        <v>675</v>
      </c>
    </row>
    <row r="167" spans="1:19" ht="60" customHeight="1" x14ac:dyDescent="0.3">
      <c r="A167" s="68">
        <f t="shared" si="10"/>
        <v>145</v>
      </c>
      <c r="B167" s="68">
        <v>15</v>
      </c>
      <c r="C167" s="68" t="s">
        <v>344</v>
      </c>
      <c r="D167" s="68" t="s">
        <v>17</v>
      </c>
      <c r="E167" s="69" t="s">
        <v>676</v>
      </c>
      <c r="F167" s="69" t="s">
        <v>656</v>
      </c>
      <c r="G167" s="69" t="s">
        <v>346</v>
      </c>
      <c r="H167" s="69" t="s">
        <v>347</v>
      </c>
      <c r="I167" s="69" t="s">
        <v>492</v>
      </c>
      <c r="J167" s="68"/>
      <c r="K167" s="68"/>
      <c r="L167" s="68" t="s">
        <v>18</v>
      </c>
      <c r="M167" s="68" t="s">
        <v>213</v>
      </c>
      <c r="N167" s="68"/>
      <c r="O167" s="68" t="s">
        <v>213</v>
      </c>
      <c r="P167" s="68" t="s">
        <v>213</v>
      </c>
      <c r="Q167" s="68" t="s">
        <v>214</v>
      </c>
      <c r="R167" s="68" t="s">
        <v>120</v>
      </c>
      <c r="S167" s="68" t="s">
        <v>677</v>
      </c>
    </row>
    <row r="168" spans="1:19" ht="60" customHeight="1" x14ac:dyDescent="0.3">
      <c r="A168" s="70">
        <f t="shared" si="10"/>
        <v>146</v>
      </c>
      <c r="B168" s="70">
        <v>15</v>
      </c>
      <c r="C168" s="71" t="s">
        <v>54</v>
      </c>
      <c r="D168" s="71" t="s">
        <v>17</v>
      </c>
      <c r="E168" s="72" t="s">
        <v>678</v>
      </c>
      <c r="F168" s="72" t="s">
        <v>656</v>
      </c>
      <c r="G168" s="72" t="s">
        <v>240</v>
      </c>
      <c r="H168" s="72" t="s">
        <v>241</v>
      </c>
      <c r="I168" s="72" t="s">
        <v>679</v>
      </c>
      <c r="J168" s="70"/>
      <c r="K168" s="70"/>
      <c r="L168" s="71" t="s">
        <v>18</v>
      </c>
      <c r="M168" s="70" t="s">
        <v>213</v>
      </c>
      <c r="N168" s="70"/>
      <c r="O168" s="70" t="s">
        <v>213</v>
      </c>
      <c r="P168" s="70" t="s">
        <v>213</v>
      </c>
      <c r="Q168" s="70" t="s">
        <v>214</v>
      </c>
      <c r="R168" s="70" t="s">
        <v>120</v>
      </c>
      <c r="S168" s="70" t="s">
        <v>680</v>
      </c>
    </row>
    <row r="169" spans="1:19" ht="60" customHeight="1" x14ac:dyDescent="0.3">
      <c r="A169" s="68">
        <f t="shared" si="10"/>
        <v>147</v>
      </c>
      <c r="B169" s="68">
        <v>15</v>
      </c>
      <c r="C169" s="68" t="s">
        <v>54</v>
      </c>
      <c r="D169" s="68" t="s">
        <v>17</v>
      </c>
      <c r="E169" s="69" t="s">
        <v>681</v>
      </c>
      <c r="F169" s="69" t="s">
        <v>656</v>
      </c>
      <c r="G169" s="69" t="s">
        <v>240</v>
      </c>
      <c r="H169" s="69" t="s">
        <v>241</v>
      </c>
      <c r="I169" s="69" t="s">
        <v>418</v>
      </c>
      <c r="J169" s="68"/>
      <c r="K169" s="68"/>
      <c r="L169" s="68" t="s">
        <v>18</v>
      </c>
      <c r="M169" s="68" t="s">
        <v>213</v>
      </c>
      <c r="N169" s="68"/>
      <c r="O169" s="68" t="s">
        <v>213</v>
      </c>
      <c r="P169" s="68" t="s">
        <v>213</v>
      </c>
      <c r="Q169" s="68" t="s">
        <v>214</v>
      </c>
      <c r="R169" s="68" t="s">
        <v>120</v>
      </c>
      <c r="S169" s="68" t="s">
        <v>682</v>
      </c>
    </row>
    <row r="170" spans="1:19" ht="60" customHeight="1" x14ac:dyDescent="0.3">
      <c r="A170" s="70">
        <f t="shared" si="10"/>
        <v>148</v>
      </c>
      <c r="B170" s="70">
        <v>15</v>
      </c>
      <c r="C170" s="71" t="s">
        <v>54</v>
      </c>
      <c r="D170" s="71" t="s">
        <v>17</v>
      </c>
      <c r="E170" s="72" t="s">
        <v>683</v>
      </c>
      <c r="F170" s="72" t="s">
        <v>656</v>
      </c>
      <c r="G170" s="72" t="s">
        <v>240</v>
      </c>
      <c r="H170" s="72" t="s">
        <v>241</v>
      </c>
      <c r="I170" s="72" t="s">
        <v>684</v>
      </c>
      <c r="J170" s="70"/>
      <c r="K170" s="70"/>
      <c r="L170" s="71" t="s">
        <v>18</v>
      </c>
      <c r="M170" s="70" t="s">
        <v>213</v>
      </c>
      <c r="N170" s="70"/>
      <c r="O170" s="70" t="s">
        <v>213</v>
      </c>
      <c r="P170" s="70" t="s">
        <v>213</v>
      </c>
      <c r="Q170" s="70" t="s">
        <v>214</v>
      </c>
      <c r="R170" s="70" t="s">
        <v>120</v>
      </c>
      <c r="S170" s="70" t="s">
        <v>685</v>
      </c>
    </row>
    <row r="171" spans="1:19" ht="60" customHeight="1" x14ac:dyDescent="0.3">
      <c r="A171" s="68">
        <f t="shared" si="10"/>
        <v>149</v>
      </c>
      <c r="B171" s="68">
        <v>15</v>
      </c>
      <c r="C171" s="68" t="s">
        <v>54</v>
      </c>
      <c r="D171" s="68" t="s">
        <v>17</v>
      </c>
      <c r="E171" s="69" t="s">
        <v>686</v>
      </c>
      <c r="F171" s="69" t="s">
        <v>656</v>
      </c>
      <c r="G171" s="69" t="s">
        <v>328</v>
      </c>
      <c r="H171" s="69" t="s">
        <v>329</v>
      </c>
      <c r="I171" s="69" t="s">
        <v>687</v>
      </c>
      <c r="J171" s="68"/>
      <c r="K171" s="68"/>
      <c r="L171" s="68" t="s">
        <v>18</v>
      </c>
      <c r="M171" s="68" t="s">
        <v>213</v>
      </c>
      <c r="N171" s="68"/>
      <c r="O171" s="68" t="s">
        <v>213</v>
      </c>
      <c r="P171" s="68" t="s">
        <v>213</v>
      </c>
      <c r="Q171" s="68" t="s">
        <v>214</v>
      </c>
      <c r="R171" s="68" t="s">
        <v>120</v>
      </c>
      <c r="S171" s="68" t="s">
        <v>688</v>
      </c>
    </row>
    <row r="172" spans="1:19" ht="60" customHeight="1" x14ac:dyDescent="0.3">
      <c r="A172" s="70">
        <f t="shared" si="10"/>
        <v>150</v>
      </c>
      <c r="B172" s="70">
        <v>15</v>
      </c>
      <c r="C172" s="71" t="s">
        <v>54</v>
      </c>
      <c r="D172" s="71" t="s">
        <v>17</v>
      </c>
      <c r="E172" s="72" t="s">
        <v>689</v>
      </c>
      <c r="F172" s="72" t="s">
        <v>656</v>
      </c>
      <c r="G172" s="72" t="s">
        <v>263</v>
      </c>
      <c r="H172" s="72" t="s">
        <v>264</v>
      </c>
      <c r="I172" s="72" t="s">
        <v>690</v>
      </c>
      <c r="J172" s="70"/>
      <c r="K172" s="70"/>
      <c r="L172" s="71" t="s">
        <v>18</v>
      </c>
      <c r="M172" s="70" t="s">
        <v>213</v>
      </c>
      <c r="N172" s="70"/>
      <c r="O172" s="70" t="s">
        <v>213</v>
      </c>
      <c r="P172" s="70" t="s">
        <v>213</v>
      </c>
      <c r="Q172" s="70" t="s">
        <v>214</v>
      </c>
      <c r="R172" s="70" t="s">
        <v>120</v>
      </c>
      <c r="S172" s="70" t="s">
        <v>691</v>
      </c>
    </row>
    <row r="173" spans="1:19" ht="19.5" customHeight="1" x14ac:dyDescent="0.3">
      <c r="A173" s="6" t="s">
        <v>692</v>
      </c>
      <c r="B173" s="6"/>
      <c r="C173" s="6"/>
      <c r="D173" s="6"/>
      <c r="E173" s="6"/>
      <c r="F173" s="6"/>
      <c r="G173" s="6"/>
      <c r="H173" s="6"/>
      <c r="I173" s="6"/>
      <c r="J173" s="6"/>
      <c r="K173" s="6"/>
      <c r="L173" s="6"/>
      <c r="M173" s="6"/>
      <c r="N173" s="6"/>
      <c r="O173" s="6"/>
      <c r="P173" s="6"/>
      <c r="Q173" s="6"/>
      <c r="R173" s="5"/>
      <c r="S173" s="5"/>
    </row>
    <row r="174" spans="1:19" ht="60" customHeight="1" x14ac:dyDescent="0.3">
      <c r="A174" s="68">
        <f>A172+1</f>
        <v>151</v>
      </c>
      <c r="B174" s="68">
        <v>16</v>
      </c>
      <c r="C174" s="68" t="s">
        <v>16</v>
      </c>
      <c r="D174" s="68" t="s">
        <v>17</v>
      </c>
      <c r="E174" s="69" t="s">
        <v>693</v>
      </c>
      <c r="F174" s="69" t="s">
        <v>694</v>
      </c>
      <c r="G174" s="69" t="s">
        <v>292</v>
      </c>
      <c r="H174" s="69" t="s">
        <v>305</v>
      </c>
      <c r="I174" s="69" t="s">
        <v>695</v>
      </c>
      <c r="J174" s="68"/>
      <c r="K174" s="68"/>
      <c r="L174" s="68" t="s">
        <v>18</v>
      </c>
      <c r="M174" s="68" t="s">
        <v>213</v>
      </c>
      <c r="N174" s="68"/>
      <c r="O174" s="68" t="s">
        <v>213</v>
      </c>
      <c r="P174" s="68" t="s">
        <v>213</v>
      </c>
      <c r="Q174" s="68" t="s">
        <v>214</v>
      </c>
      <c r="R174" s="68" t="s">
        <v>125</v>
      </c>
      <c r="S174" s="68" t="s">
        <v>696</v>
      </c>
    </row>
    <row r="175" spans="1:19" ht="60" customHeight="1" x14ac:dyDescent="0.3">
      <c r="A175" s="70">
        <f>A174+1</f>
        <v>152</v>
      </c>
      <c r="B175" s="70">
        <v>16</v>
      </c>
      <c r="C175" s="71" t="s">
        <v>16</v>
      </c>
      <c r="D175" s="71" t="s">
        <v>17</v>
      </c>
      <c r="E175" s="72" t="s">
        <v>697</v>
      </c>
      <c r="F175" s="72" t="s">
        <v>694</v>
      </c>
      <c r="G175" s="72" t="s">
        <v>221</v>
      </c>
      <c r="H175" s="72" t="s">
        <v>222</v>
      </c>
      <c r="I175" s="72" t="s">
        <v>698</v>
      </c>
      <c r="J175" s="70"/>
      <c r="K175" s="70"/>
      <c r="L175" s="71" t="s">
        <v>18</v>
      </c>
      <c r="M175" s="70" t="s">
        <v>213</v>
      </c>
      <c r="N175" s="70"/>
      <c r="O175" s="70" t="s">
        <v>213</v>
      </c>
      <c r="P175" s="70" t="s">
        <v>213</v>
      </c>
      <c r="Q175" s="70" t="s">
        <v>214</v>
      </c>
      <c r="R175" s="70" t="s">
        <v>125</v>
      </c>
      <c r="S175" s="70" t="s">
        <v>699</v>
      </c>
    </row>
    <row r="176" spans="1:19" ht="60" customHeight="1" x14ac:dyDescent="0.3">
      <c r="A176" s="68">
        <f>A175+1</f>
        <v>153</v>
      </c>
      <c r="B176" s="68">
        <v>16</v>
      </c>
      <c r="C176" s="68" t="s">
        <v>54</v>
      </c>
      <c r="D176" s="68" t="s">
        <v>17</v>
      </c>
      <c r="E176" s="69" t="s">
        <v>700</v>
      </c>
      <c r="F176" s="69" t="s">
        <v>694</v>
      </c>
      <c r="G176" s="69" t="s">
        <v>323</v>
      </c>
      <c r="H176" s="69" t="s">
        <v>324</v>
      </c>
      <c r="I176" s="69" t="s">
        <v>701</v>
      </c>
      <c r="J176" s="68"/>
      <c r="K176" s="68"/>
      <c r="L176" s="68" t="s">
        <v>18</v>
      </c>
      <c r="M176" s="68" t="s">
        <v>213</v>
      </c>
      <c r="N176" s="68"/>
      <c r="O176" s="68" t="s">
        <v>213</v>
      </c>
      <c r="P176" s="68" t="s">
        <v>213</v>
      </c>
      <c r="Q176" s="68" t="s">
        <v>214</v>
      </c>
      <c r="R176" s="68" t="s">
        <v>125</v>
      </c>
      <c r="S176" s="68" t="s">
        <v>702</v>
      </c>
    </row>
    <row r="177" spans="1:19" ht="60" customHeight="1" x14ac:dyDescent="0.3">
      <c r="A177" s="70">
        <f>A176+1</f>
        <v>154</v>
      </c>
      <c r="B177" s="70">
        <v>16</v>
      </c>
      <c r="C177" s="71" t="s">
        <v>16</v>
      </c>
      <c r="D177" s="71" t="s">
        <v>17</v>
      </c>
      <c r="E177" s="72" t="s">
        <v>703</v>
      </c>
      <c r="F177" s="72" t="s">
        <v>694</v>
      </c>
      <c r="G177" s="72" t="s">
        <v>210</v>
      </c>
      <c r="H177" s="72" t="s">
        <v>211</v>
      </c>
      <c r="I177" s="72" t="s">
        <v>704</v>
      </c>
      <c r="J177" s="70"/>
      <c r="K177" s="70"/>
      <c r="L177" s="71" t="s">
        <v>18</v>
      </c>
      <c r="M177" s="70" t="s">
        <v>213</v>
      </c>
      <c r="N177" s="70"/>
      <c r="O177" s="70" t="s">
        <v>213</v>
      </c>
      <c r="P177" s="70" t="s">
        <v>213</v>
      </c>
      <c r="Q177" s="70" t="s">
        <v>214</v>
      </c>
      <c r="R177" s="70" t="s">
        <v>125</v>
      </c>
      <c r="S177" s="70" t="s">
        <v>705</v>
      </c>
    </row>
    <row r="178" spans="1:19" ht="60" customHeight="1" x14ac:dyDescent="0.3">
      <c r="A178" s="68">
        <f>A177+1</f>
        <v>155</v>
      </c>
      <c r="B178" s="68">
        <v>16</v>
      </c>
      <c r="C178" s="68" t="s">
        <v>16</v>
      </c>
      <c r="D178" s="68" t="s">
        <v>17</v>
      </c>
      <c r="E178" s="69" t="s">
        <v>706</v>
      </c>
      <c r="F178" s="69" t="s">
        <v>694</v>
      </c>
      <c r="G178" s="69" t="s">
        <v>210</v>
      </c>
      <c r="H178" s="69" t="s">
        <v>211</v>
      </c>
      <c r="I178" s="69" t="s">
        <v>707</v>
      </c>
      <c r="J178" s="68"/>
      <c r="K178" s="68"/>
      <c r="L178" s="68" t="s">
        <v>18</v>
      </c>
      <c r="M178" s="68" t="s">
        <v>213</v>
      </c>
      <c r="N178" s="68"/>
      <c r="O178" s="68" t="s">
        <v>213</v>
      </c>
      <c r="P178" s="68" t="s">
        <v>213</v>
      </c>
      <c r="Q178" s="68" t="s">
        <v>214</v>
      </c>
      <c r="R178" s="68" t="s">
        <v>125</v>
      </c>
      <c r="S178" s="68" t="s">
        <v>708</v>
      </c>
    </row>
    <row r="179" spans="1:19" ht="19.5" customHeight="1" x14ac:dyDescent="0.3">
      <c r="A179" s="6" t="s">
        <v>709</v>
      </c>
      <c r="B179" s="6"/>
      <c r="C179" s="6"/>
      <c r="D179" s="6"/>
      <c r="E179" s="6"/>
      <c r="F179" s="6"/>
      <c r="G179" s="6"/>
      <c r="H179" s="6"/>
      <c r="I179" s="6"/>
      <c r="J179" s="6"/>
      <c r="K179" s="6"/>
      <c r="L179" s="6"/>
      <c r="M179" s="6"/>
      <c r="N179" s="6"/>
      <c r="O179" s="6"/>
      <c r="P179" s="6"/>
      <c r="Q179" s="6"/>
      <c r="R179" s="5"/>
      <c r="S179" s="5"/>
    </row>
    <row r="180" spans="1:19" ht="60" customHeight="1" x14ac:dyDescent="0.3">
      <c r="A180" s="70">
        <f>A178+1</f>
        <v>156</v>
      </c>
      <c r="B180" s="70">
        <v>17</v>
      </c>
      <c r="C180" s="71" t="s">
        <v>16</v>
      </c>
      <c r="D180" s="71" t="s">
        <v>17</v>
      </c>
      <c r="E180" s="72" t="s">
        <v>710</v>
      </c>
      <c r="F180" s="72" t="s">
        <v>711</v>
      </c>
      <c r="G180" s="72" t="s">
        <v>292</v>
      </c>
      <c r="H180" s="72" t="s">
        <v>305</v>
      </c>
      <c r="I180" s="72" t="s">
        <v>712</v>
      </c>
      <c r="J180" s="70"/>
      <c r="K180" s="70"/>
      <c r="L180" s="71" t="s">
        <v>18</v>
      </c>
      <c r="M180" s="70" t="s">
        <v>213</v>
      </c>
      <c r="N180" s="70"/>
      <c r="O180" s="70" t="s">
        <v>213</v>
      </c>
      <c r="P180" s="70" t="s">
        <v>213</v>
      </c>
      <c r="Q180" s="70" t="s">
        <v>214</v>
      </c>
      <c r="R180" s="70" t="s">
        <v>130</v>
      </c>
      <c r="S180" s="70" t="s">
        <v>713</v>
      </c>
    </row>
    <row r="181" spans="1:19" ht="60" customHeight="1" x14ac:dyDescent="0.3">
      <c r="A181" s="68">
        <f>A180+1</f>
        <v>157</v>
      </c>
      <c r="B181" s="68">
        <v>17</v>
      </c>
      <c r="C181" s="68" t="s">
        <v>16</v>
      </c>
      <c r="D181" s="68" t="s">
        <v>17</v>
      </c>
      <c r="E181" s="69" t="s">
        <v>714</v>
      </c>
      <c r="F181" s="69" t="s">
        <v>711</v>
      </c>
      <c r="G181" s="69" t="s">
        <v>221</v>
      </c>
      <c r="H181" s="69" t="s">
        <v>222</v>
      </c>
      <c r="I181" s="69" t="s">
        <v>715</v>
      </c>
      <c r="J181" s="68"/>
      <c r="K181" s="68"/>
      <c r="L181" s="68" t="s">
        <v>18</v>
      </c>
      <c r="M181" s="68" t="s">
        <v>213</v>
      </c>
      <c r="N181" s="68"/>
      <c r="O181" s="68" t="s">
        <v>213</v>
      </c>
      <c r="P181" s="68" t="s">
        <v>213</v>
      </c>
      <c r="Q181" s="68" t="s">
        <v>214</v>
      </c>
      <c r="R181" s="68" t="s">
        <v>130</v>
      </c>
      <c r="S181" s="68" t="s">
        <v>716</v>
      </c>
    </row>
    <row r="182" spans="1:19" ht="60" customHeight="1" x14ac:dyDescent="0.3">
      <c r="A182" s="70">
        <f>A181+1</f>
        <v>158</v>
      </c>
      <c r="B182" s="70">
        <v>17</v>
      </c>
      <c r="C182" s="71" t="s">
        <v>54</v>
      </c>
      <c r="D182" s="71" t="s">
        <v>17</v>
      </c>
      <c r="E182" s="72" t="s">
        <v>717</v>
      </c>
      <c r="F182" s="72" t="s">
        <v>711</v>
      </c>
      <c r="G182" s="72" t="s">
        <v>323</v>
      </c>
      <c r="H182" s="72" t="s">
        <v>324</v>
      </c>
      <c r="I182" s="72" t="s">
        <v>718</v>
      </c>
      <c r="J182" s="70"/>
      <c r="K182" s="70"/>
      <c r="L182" s="71" t="s">
        <v>18</v>
      </c>
      <c r="M182" s="70" t="s">
        <v>213</v>
      </c>
      <c r="N182" s="70"/>
      <c r="O182" s="70" t="s">
        <v>213</v>
      </c>
      <c r="P182" s="70" t="s">
        <v>213</v>
      </c>
      <c r="Q182" s="70" t="s">
        <v>214</v>
      </c>
      <c r="R182" s="70" t="s">
        <v>130</v>
      </c>
      <c r="S182" s="70" t="s">
        <v>719</v>
      </c>
    </row>
    <row r="183" spans="1:19" ht="60" customHeight="1" x14ac:dyDescent="0.3">
      <c r="A183" s="68">
        <f>A182+1</f>
        <v>159</v>
      </c>
      <c r="B183" s="68">
        <v>17</v>
      </c>
      <c r="C183" s="68" t="s">
        <v>16</v>
      </c>
      <c r="D183" s="68" t="s">
        <v>17</v>
      </c>
      <c r="E183" s="69" t="s">
        <v>720</v>
      </c>
      <c r="F183" s="69" t="s">
        <v>711</v>
      </c>
      <c r="G183" s="69" t="s">
        <v>292</v>
      </c>
      <c r="H183" s="69" t="s">
        <v>305</v>
      </c>
      <c r="I183" s="69" t="s">
        <v>721</v>
      </c>
      <c r="J183" s="68"/>
      <c r="K183" s="68"/>
      <c r="L183" s="68" t="s">
        <v>18</v>
      </c>
      <c r="M183" s="68" t="s">
        <v>213</v>
      </c>
      <c r="N183" s="68"/>
      <c r="O183" s="68" t="s">
        <v>213</v>
      </c>
      <c r="P183" s="68" t="s">
        <v>213</v>
      </c>
      <c r="Q183" s="68" t="s">
        <v>214</v>
      </c>
      <c r="R183" s="68" t="s">
        <v>130</v>
      </c>
      <c r="S183" s="68" t="s">
        <v>722</v>
      </c>
    </row>
    <row r="184" spans="1:19" ht="60" customHeight="1" x14ac:dyDescent="0.3">
      <c r="A184" s="70">
        <f>A183+1</f>
        <v>160</v>
      </c>
      <c r="B184" s="70">
        <v>17</v>
      </c>
      <c r="C184" s="71" t="s">
        <v>16</v>
      </c>
      <c r="D184" s="71" t="s">
        <v>17</v>
      </c>
      <c r="E184" s="72" t="s">
        <v>723</v>
      </c>
      <c r="F184" s="72" t="s">
        <v>711</v>
      </c>
      <c r="G184" s="72" t="s">
        <v>292</v>
      </c>
      <c r="H184" s="72" t="s">
        <v>305</v>
      </c>
      <c r="I184" s="72" t="s">
        <v>724</v>
      </c>
      <c r="J184" s="70"/>
      <c r="K184" s="70"/>
      <c r="L184" s="71" t="s">
        <v>18</v>
      </c>
      <c r="M184" s="70" t="s">
        <v>213</v>
      </c>
      <c r="N184" s="70"/>
      <c r="O184" s="70" t="s">
        <v>213</v>
      </c>
      <c r="P184" s="70" t="s">
        <v>213</v>
      </c>
      <c r="Q184" s="70" t="s">
        <v>214</v>
      </c>
      <c r="R184" s="70" t="s">
        <v>130</v>
      </c>
      <c r="S184" s="70" t="s">
        <v>725</v>
      </c>
    </row>
    <row r="185" spans="1:19" ht="19.5" customHeight="1" x14ac:dyDescent="0.3">
      <c r="A185" s="6" t="s">
        <v>726</v>
      </c>
      <c r="B185" s="6"/>
      <c r="C185" s="6"/>
      <c r="D185" s="6"/>
      <c r="E185" s="6"/>
      <c r="F185" s="6"/>
      <c r="G185" s="6"/>
      <c r="H185" s="6"/>
      <c r="I185" s="6"/>
      <c r="J185" s="6"/>
      <c r="K185" s="6"/>
      <c r="L185" s="6"/>
      <c r="M185" s="6"/>
      <c r="N185" s="6"/>
      <c r="O185" s="6"/>
      <c r="P185" s="6"/>
      <c r="Q185" s="6"/>
      <c r="R185" s="5"/>
      <c r="S185" s="5"/>
    </row>
    <row r="186" spans="1:19" ht="60" customHeight="1" x14ac:dyDescent="0.3">
      <c r="A186" s="68">
        <f>A184+1</f>
        <v>161</v>
      </c>
      <c r="B186" s="68">
        <v>18</v>
      </c>
      <c r="C186" s="68" t="s">
        <v>16</v>
      </c>
      <c r="D186" s="68" t="s">
        <v>17</v>
      </c>
      <c r="E186" s="69" t="s">
        <v>727</v>
      </c>
      <c r="F186" s="69" t="s">
        <v>728</v>
      </c>
      <c r="G186" s="69" t="s">
        <v>292</v>
      </c>
      <c r="H186" s="69" t="s">
        <v>305</v>
      </c>
      <c r="I186" s="69" t="s">
        <v>729</v>
      </c>
      <c r="J186" s="68"/>
      <c r="K186" s="68"/>
      <c r="L186" s="68" t="s">
        <v>18</v>
      </c>
      <c r="M186" s="68" t="s">
        <v>213</v>
      </c>
      <c r="N186" s="68"/>
      <c r="O186" s="68" t="s">
        <v>213</v>
      </c>
      <c r="P186" s="68" t="s">
        <v>213</v>
      </c>
      <c r="Q186" s="68" t="s">
        <v>214</v>
      </c>
      <c r="R186" s="68" t="s">
        <v>135</v>
      </c>
      <c r="S186" s="68" t="s">
        <v>730</v>
      </c>
    </row>
    <row r="187" spans="1:19" ht="60" customHeight="1" x14ac:dyDescent="0.3">
      <c r="A187" s="70">
        <f>A186+1</f>
        <v>162</v>
      </c>
      <c r="B187" s="70">
        <v>18</v>
      </c>
      <c r="C187" s="71" t="s">
        <v>16</v>
      </c>
      <c r="D187" s="71" t="s">
        <v>17</v>
      </c>
      <c r="E187" s="72" t="s">
        <v>731</v>
      </c>
      <c r="F187" s="72" t="s">
        <v>728</v>
      </c>
      <c r="G187" s="72" t="s">
        <v>221</v>
      </c>
      <c r="H187" s="72" t="s">
        <v>222</v>
      </c>
      <c r="I187" s="72" t="s">
        <v>732</v>
      </c>
      <c r="J187" s="70"/>
      <c r="K187" s="70"/>
      <c r="L187" s="71" t="s">
        <v>18</v>
      </c>
      <c r="M187" s="70" t="s">
        <v>213</v>
      </c>
      <c r="N187" s="70"/>
      <c r="O187" s="70" t="s">
        <v>213</v>
      </c>
      <c r="P187" s="70" t="s">
        <v>213</v>
      </c>
      <c r="Q187" s="70" t="s">
        <v>214</v>
      </c>
      <c r="R187" s="70" t="s">
        <v>135</v>
      </c>
      <c r="S187" s="70" t="s">
        <v>733</v>
      </c>
    </row>
    <row r="188" spans="1:19" ht="60" customHeight="1" x14ac:dyDescent="0.3">
      <c r="A188" s="68">
        <f>A187+1</f>
        <v>163</v>
      </c>
      <c r="B188" s="68">
        <v>18</v>
      </c>
      <c r="C188" s="68" t="s">
        <v>54</v>
      </c>
      <c r="D188" s="68" t="s">
        <v>17</v>
      </c>
      <c r="E188" s="69" t="s">
        <v>734</v>
      </c>
      <c r="F188" s="69" t="s">
        <v>728</v>
      </c>
      <c r="G188" s="69" t="s">
        <v>323</v>
      </c>
      <c r="H188" s="69" t="s">
        <v>324</v>
      </c>
      <c r="I188" s="69" t="s">
        <v>735</v>
      </c>
      <c r="J188" s="68"/>
      <c r="K188" s="68"/>
      <c r="L188" s="68" t="s">
        <v>18</v>
      </c>
      <c r="M188" s="68" t="s">
        <v>213</v>
      </c>
      <c r="N188" s="68"/>
      <c r="O188" s="68" t="s">
        <v>213</v>
      </c>
      <c r="P188" s="68" t="s">
        <v>213</v>
      </c>
      <c r="Q188" s="68" t="s">
        <v>214</v>
      </c>
      <c r="R188" s="68" t="s">
        <v>135</v>
      </c>
      <c r="S188" s="68" t="s">
        <v>736</v>
      </c>
    </row>
    <row r="189" spans="1:19" ht="19.5" customHeight="1" x14ac:dyDescent="0.3">
      <c r="A189" s="6" t="s">
        <v>737</v>
      </c>
      <c r="B189" s="6"/>
      <c r="C189" s="6"/>
      <c r="D189" s="6"/>
      <c r="E189" s="6"/>
      <c r="F189" s="6"/>
      <c r="G189" s="6"/>
      <c r="H189" s="6"/>
      <c r="I189" s="6"/>
      <c r="J189" s="6"/>
      <c r="K189" s="6"/>
      <c r="L189" s="6"/>
      <c r="M189" s="6"/>
      <c r="N189" s="6"/>
      <c r="O189" s="6"/>
      <c r="P189" s="6"/>
      <c r="Q189" s="6"/>
      <c r="R189" s="5"/>
      <c r="S189" s="5"/>
    </row>
    <row r="190" spans="1:19" ht="60" customHeight="1" x14ac:dyDescent="0.3">
      <c r="A190" s="70">
        <f>A188+1</f>
        <v>164</v>
      </c>
      <c r="B190" s="70">
        <v>19</v>
      </c>
      <c r="C190" s="71" t="s">
        <v>16</v>
      </c>
      <c r="D190" s="71" t="s">
        <v>17</v>
      </c>
      <c r="E190" s="72" t="s">
        <v>738</v>
      </c>
      <c r="F190" s="72" t="s">
        <v>739</v>
      </c>
      <c r="G190" s="72" t="s">
        <v>292</v>
      </c>
      <c r="H190" s="72" t="s">
        <v>305</v>
      </c>
      <c r="I190" s="72" t="s">
        <v>740</v>
      </c>
      <c r="J190" s="70"/>
      <c r="K190" s="70"/>
      <c r="L190" s="71" t="s">
        <v>18</v>
      </c>
      <c r="M190" s="70" t="s">
        <v>213</v>
      </c>
      <c r="N190" s="70"/>
      <c r="O190" s="70" t="s">
        <v>213</v>
      </c>
      <c r="P190" s="70" t="s">
        <v>213</v>
      </c>
      <c r="Q190" s="70" t="s">
        <v>214</v>
      </c>
      <c r="R190" s="70" t="s">
        <v>140</v>
      </c>
      <c r="S190" s="70" t="s">
        <v>741</v>
      </c>
    </row>
    <row r="191" spans="1:19" ht="60" customHeight="1" x14ac:dyDescent="0.3">
      <c r="A191" s="68">
        <f>A190+1</f>
        <v>165</v>
      </c>
      <c r="B191" s="68">
        <v>19</v>
      </c>
      <c r="C191" s="68" t="s">
        <v>16</v>
      </c>
      <c r="D191" s="68" t="s">
        <v>17</v>
      </c>
      <c r="E191" s="69" t="s">
        <v>742</v>
      </c>
      <c r="F191" s="69" t="s">
        <v>739</v>
      </c>
      <c r="G191" s="69" t="s">
        <v>221</v>
      </c>
      <c r="H191" s="69" t="s">
        <v>222</v>
      </c>
      <c r="I191" s="69" t="s">
        <v>743</v>
      </c>
      <c r="J191" s="68"/>
      <c r="K191" s="68"/>
      <c r="L191" s="68" t="s">
        <v>18</v>
      </c>
      <c r="M191" s="68" t="s">
        <v>213</v>
      </c>
      <c r="N191" s="68"/>
      <c r="O191" s="68" t="s">
        <v>213</v>
      </c>
      <c r="P191" s="68" t="s">
        <v>213</v>
      </c>
      <c r="Q191" s="68" t="s">
        <v>214</v>
      </c>
      <c r="R191" s="68" t="s">
        <v>140</v>
      </c>
      <c r="S191" s="68" t="s">
        <v>744</v>
      </c>
    </row>
    <row r="192" spans="1:19" ht="60" customHeight="1" x14ac:dyDescent="0.3">
      <c r="A192" s="70">
        <f>A191+1</f>
        <v>166</v>
      </c>
      <c r="B192" s="70">
        <v>19</v>
      </c>
      <c r="C192" s="71" t="s">
        <v>54</v>
      </c>
      <c r="D192" s="71" t="s">
        <v>17</v>
      </c>
      <c r="E192" s="72" t="s">
        <v>745</v>
      </c>
      <c r="F192" s="72" t="s">
        <v>739</v>
      </c>
      <c r="G192" s="72" t="s">
        <v>323</v>
      </c>
      <c r="H192" s="72" t="s">
        <v>324</v>
      </c>
      <c r="I192" s="72" t="s">
        <v>746</v>
      </c>
      <c r="J192" s="70"/>
      <c r="K192" s="70"/>
      <c r="L192" s="71" t="s">
        <v>18</v>
      </c>
      <c r="M192" s="70" t="s">
        <v>213</v>
      </c>
      <c r="N192" s="70"/>
      <c r="O192" s="70" t="s">
        <v>213</v>
      </c>
      <c r="P192" s="70" t="s">
        <v>213</v>
      </c>
      <c r="Q192" s="70" t="s">
        <v>214</v>
      </c>
      <c r="R192" s="70" t="s">
        <v>140</v>
      </c>
      <c r="S192" s="70" t="s">
        <v>747</v>
      </c>
    </row>
    <row r="193" spans="1:19" ht="19.5" customHeight="1" x14ac:dyDescent="0.3">
      <c r="A193" s="6" t="s">
        <v>748</v>
      </c>
      <c r="B193" s="6"/>
      <c r="C193" s="6"/>
      <c r="D193" s="6"/>
      <c r="E193" s="6"/>
      <c r="F193" s="6"/>
      <c r="G193" s="6"/>
      <c r="H193" s="6"/>
      <c r="I193" s="6"/>
      <c r="J193" s="6"/>
      <c r="K193" s="6"/>
      <c r="L193" s="6"/>
      <c r="M193" s="6"/>
      <c r="N193" s="6"/>
      <c r="O193" s="6"/>
      <c r="P193" s="6"/>
      <c r="Q193" s="6"/>
      <c r="R193" s="5"/>
      <c r="S193" s="5"/>
    </row>
    <row r="194" spans="1:19" ht="60" customHeight="1" x14ac:dyDescent="0.3">
      <c r="A194" s="68">
        <f>A192+1</f>
        <v>167</v>
      </c>
      <c r="B194" s="68">
        <v>20</v>
      </c>
      <c r="C194" s="68" t="s">
        <v>16</v>
      </c>
      <c r="D194" s="68" t="s">
        <v>17</v>
      </c>
      <c r="E194" s="69" t="s">
        <v>749</v>
      </c>
      <c r="F194" s="69" t="s">
        <v>750</v>
      </c>
      <c r="G194" s="69" t="s">
        <v>292</v>
      </c>
      <c r="H194" s="69" t="s">
        <v>305</v>
      </c>
      <c r="I194" s="69" t="s">
        <v>751</v>
      </c>
      <c r="J194" s="68"/>
      <c r="K194" s="68"/>
      <c r="L194" s="68" t="s">
        <v>18</v>
      </c>
      <c r="M194" s="68" t="s">
        <v>213</v>
      </c>
      <c r="N194" s="68"/>
      <c r="O194" s="68" t="s">
        <v>213</v>
      </c>
      <c r="P194" s="68" t="s">
        <v>213</v>
      </c>
      <c r="Q194" s="68" t="s">
        <v>214</v>
      </c>
      <c r="R194" s="68" t="s">
        <v>145</v>
      </c>
      <c r="S194" s="68" t="s">
        <v>752</v>
      </c>
    </row>
    <row r="195" spans="1:19" ht="60" customHeight="1" x14ac:dyDescent="0.3">
      <c r="A195" s="70">
        <f>A194+1</f>
        <v>168</v>
      </c>
      <c r="B195" s="70">
        <v>20</v>
      </c>
      <c r="C195" s="71" t="s">
        <v>16</v>
      </c>
      <c r="D195" s="71" t="s">
        <v>17</v>
      </c>
      <c r="E195" s="72" t="s">
        <v>753</v>
      </c>
      <c r="F195" s="72" t="s">
        <v>750</v>
      </c>
      <c r="G195" s="72" t="s">
        <v>221</v>
      </c>
      <c r="H195" s="72" t="s">
        <v>222</v>
      </c>
      <c r="I195" s="72" t="s">
        <v>754</v>
      </c>
      <c r="J195" s="70"/>
      <c r="K195" s="70"/>
      <c r="L195" s="71" t="s">
        <v>18</v>
      </c>
      <c r="M195" s="70" t="s">
        <v>213</v>
      </c>
      <c r="N195" s="70"/>
      <c r="O195" s="70" t="s">
        <v>213</v>
      </c>
      <c r="P195" s="70" t="s">
        <v>213</v>
      </c>
      <c r="Q195" s="70" t="s">
        <v>214</v>
      </c>
      <c r="R195" s="70" t="s">
        <v>145</v>
      </c>
      <c r="S195" s="70" t="s">
        <v>755</v>
      </c>
    </row>
    <row r="196" spans="1:19" ht="60" customHeight="1" x14ac:dyDescent="0.3">
      <c r="A196" s="68">
        <f>A195+1</f>
        <v>169</v>
      </c>
      <c r="B196" s="68">
        <v>20</v>
      </c>
      <c r="C196" s="68" t="s">
        <v>54</v>
      </c>
      <c r="D196" s="68" t="s">
        <v>17</v>
      </c>
      <c r="E196" s="69" t="s">
        <v>756</v>
      </c>
      <c r="F196" s="69" t="s">
        <v>750</v>
      </c>
      <c r="G196" s="69" t="s">
        <v>323</v>
      </c>
      <c r="H196" s="69" t="s">
        <v>324</v>
      </c>
      <c r="I196" s="69" t="s">
        <v>757</v>
      </c>
      <c r="J196" s="68"/>
      <c r="K196" s="68"/>
      <c r="L196" s="68" t="s">
        <v>18</v>
      </c>
      <c r="M196" s="68" t="s">
        <v>213</v>
      </c>
      <c r="N196" s="68"/>
      <c r="O196" s="68" t="s">
        <v>213</v>
      </c>
      <c r="P196" s="68" t="s">
        <v>213</v>
      </c>
      <c r="Q196" s="68" t="s">
        <v>214</v>
      </c>
      <c r="R196" s="68" t="s">
        <v>145</v>
      </c>
      <c r="S196" s="68" t="s">
        <v>758</v>
      </c>
    </row>
    <row r="197" spans="1:19" ht="19.5" customHeight="1" x14ac:dyDescent="0.3">
      <c r="A197" s="6" t="s">
        <v>759</v>
      </c>
      <c r="B197" s="6"/>
      <c r="C197" s="6"/>
      <c r="D197" s="6"/>
      <c r="E197" s="6"/>
      <c r="F197" s="6"/>
      <c r="G197" s="6"/>
      <c r="H197" s="6"/>
      <c r="I197" s="6"/>
      <c r="J197" s="6"/>
      <c r="K197" s="6"/>
      <c r="L197" s="6"/>
      <c r="M197" s="6"/>
      <c r="N197" s="6"/>
      <c r="O197" s="6"/>
      <c r="P197" s="6"/>
      <c r="Q197" s="6"/>
      <c r="R197" s="5"/>
      <c r="S197" s="5"/>
    </row>
    <row r="198" spans="1:19" ht="60" customHeight="1" x14ac:dyDescent="0.3">
      <c r="A198" s="70">
        <f>A196+1</f>
        <v>170</v>
      </c>
      <c r="B198" s="70">
        <v>21</v>
      </c>
      <c r="C198" s="71" t="s">
        <v>16</v>
      </c>
      <c r="D198" s="71" t="s">
        <v>17</v>
      </c>
      <c r="E198" s="72" t="s">
        <v>760</v>
      </c>
      <c r="F198" s="72" t="s">
        <v>761</v>
      </c>
      <c r="G198" s="72" t="s">
        <v>221</v>
      </c>
      <c r="H198" s="72" t="s">
        <v>222</v>
      </c>
      <c r="I198" s="72" t="s">
        <v>762</v>
      </c>
      <c r="J198" s="70"/>
      <c r="K198" s="70"/>
      <c r="L198" s="71" t="s">
        <v>18</v>
      </c>
      <c r="M198" s="70" t="s">
        <v>213</v>
      </c>
      <c r="N198" s="70"/>
      <c r="O198" s="70" t="s">
        <v>213</v>
      </c>
      <c r="P198" s="70" t="s">
        <v>213</v>
      </c>
      <c r="Q198" s="70" t="s">
        <v>214</v>
      </c>
      <c r="R198" s="70" t="s">
        <v>150</v>
      </c>
      <c r="S198" s="70" t="s">
        <v>763</v>
      </c>
    </row>
    <row r="199" spans="1:19" ht="60" customHeight="1" x14ac:dyDescent="0.3">
      <c r="A199" s="68">
        <f>A198+1</f>
        <v>171</v>
      </c>
      <c r="B199" s="68">
        <v>21</v>
      </c>
      <c r="C199" s="68" t="s">
        <v>54</v>
      </c>
      <c r="D199" s="68" t="s">
        <v>17</v>
      </c>
      <c r="E199" s="69" t="s">
        <v>764</v>
      </c>
      <c r="F199" s="69" t="s">
        <v>761</v>
      </c>
      <c r="G199" s="69" t="s">
        <v>263</v>
      </c>
      <c r="H199" s="69" t="s">
        <v>264</v>
      </c>
      <c r="I199" s="69" t="s">
        <v>765</v>
      </c>
      <c r="J199" s="68"/>
      <c r="K199" s="68"/>
      <c r="L199" s="68" t="s">
        <v>18</v>
      </c>
      <c r="M199" s="68" t="s">
        <v>213</v>
      </c>
      <c r="N199" s="68"/>
      <c r="O199" s="68" t="s">
        <v>213</v>
      </c>
      <c r="P199" s="68" t="s">
        <v>213</v>
      </c>
      <c r="Q199" s="68" t="s">
        <v>214</v>
      </c>
      <c r="R199" s="68" t="s">
        <v>150</v>
      </c>
      <c r="S199" s="68" t="s">
        <v>766</v>
      </c>
    </row>
    <row r="200" spans="1:19" ht="19.5" customHeight="1" x14ac:dyDescent="0.3">
      <c r="A200" s="6" t="s">
        <v>767</v>
      </c>
      <c r="B200" s="6"/>
      <c r="C200" s="6"/>
      <c r="D200" s="6"/>
      <c r="E200" s="6"/>
      <c r="F200" s="6"/>
      <c r="G200" s="6"/>
      <c r="H200" s="6"/>
      <c r="I200" s="6"/>
      <c r="J200" s="6"/>
      <c r="K200" s="6"/>
      <c r="L200" s="6"/>
      <c r="M200" s="6"/>
      <c r="N200" s="6"/>
      <c r="O200" s="6"/>
      <c r="P200" s="6"/>
      <c r="Q200" s="6"/>
      <c r="R200" s="5"/>
      <c r="S200" s="5"/>
    </row>
    <row r="201" spans="1:19" ht="60" customHeight="1" x14ac:dyDescent="0.3">
      <c r="A201" s="70">
        <f>A199+1</f>
        <v>172</v>
      </c>
      <c r="B201" s="70">
        <v>22</v>
      </c>
      <c r="C201" s="71" t="s">
        <v>16</v>
      </c>
      <c r="D201" s="71" t="s">
        <v>17</v>
      </c>
      <c r="E201" s="72" t="s">
        <v>768</v>
      </c>
      <c r="F201" s="72" t="s">
        <v>769</v>
      </c>
      <c r="G201" s="72" t="s">
        <v>292</v>
      </c>
      <c r="H201" s="72" t="s">
        <v>305</v>
      </c>
      <c r="I201" s="72" t="s">
        <v>770</v>
      </c>
      <c r="J201" s="70"/>
      <c r="K201" s="70"/>
      <c r="L201" s="71" t="s">
        <v>18</v>
      </c>
      <c r="M201" s="70" t="s">
        <v>213</v>
      </c>
      <c r="N201" s="70"/>
      <c r="O201" s="70" t="s">
        <v>213</v>
      </c>
      <c r="P201" s="70" t="s">
        <v>213</v>
      </c>
      <c r="Q201" s="70" t="s">
        <v>214</v>
      </c>
      <c r="R201" s="70" t="s">
        <v>155</v>
      </c>
      <c r="S201" s="70" t="s">
        <v>771</v>
      </c>
    </row>
    <row r="202" spans="1:19" ht="60" customHeight="1" x14ac:dyDescent="0.3">
      <c r="A202" s="68">
        <f>A201+1</f>
        <v>173</v>
      </c>
      <c r="B202" s="68">
        <v>22</v>
      </c>
      <c r="C202" s="68" t="s">
        <v>16</v>
      </c>
      <c r="D202" s="68" t="s">
        <v>17</v>
      </c>
      <c r="E202" s="69" t="s">
        <v>772</v>
      </c>
      <c r="F202" s="69" t="s">
        <v>769</v>
      </c>
      <c r="G202" s="69" t="s">
        <v>221</v>
      </c>
      <c r="H202" s="69" t="s">
        <v>222</v>
      </c>
      <c r="I202" s="69" t="s">
        <v>773</v>
      </c>
      <c r="J202" s="68"/>
      <c r="K202" s="68"/>
      <c r="L202" s="68" t="s">
        <v>18</v>
      </c>
      <c r="M202" s="68" t="s">
        <v>213</v>
      </c>
      <c r="N202" s="68"/>
      <c r="O202" s="68" t="s">
        <v>213</v>
      </c>
      <c r="P202" s="68" t="s">
        <v>213</v>
      </c>
      <c r="Q202" s="68" t="s">
        <v>214</v>
      </c>
      <c r="R202" s="68" t="s">
        <v>155</v>
      </c>
      <c r="S202" s="68" t="s">
        <v>774</v>
      </c>
    </row>
    <row r="203" spans="1:19" ht="60" customHeight="1" x14ac:dyDescent="0.3">
      <c r="A203" s="70">
        <f>A202+1</f>
        <v>174</v>
      </c>
      <c r="B203" s="70">
        <v>22</v>
      </c>
      <c r="C203" s="71" t="s">
        <v>54</v>
      </c>
      <c r="D203" s="71" t="s">
        <v>17</v>
      </c>
      <c r="E203" s="72" t="s">
        <v>775</v>
      </c>
      <c r="F203" s="72" t="s">
        <v>769</v>
      </c>
      <c r="G203" s="72" t="s">
        <v>323</v>
      </c>
      <c r="H203" s="72" t="s">
        <v>324</v>
      </c>
      <c r="I203" s="72" t="s">
        <v>776</v>
      </c>
      <c r="J203" s="70"/>
      <c r="K203" s="70"/>
      <c r="L203" s="71" t="s">
        <v>18</v>
      </c>
      <c r="M203" s="70" t="s">
        <v>213</v>
      </c>
      <c r="N203" s="70"/>
      <c r="O203" s="70" t="s">
        <v>213</v>
      </c>
      <c r="P203" s="70" t="s">
        <v>213</v>
      </c>
      <c r="Q203" s="70" t="s">
        <v>214</v>
      </c>
      <c r="R203" s="70" t="s">
        <v>155</v>
      </c>
      <c r="S203" s="70" t="s">
        <v>777</v>
      </c>
    </row>
    <row r="204" spans="1:19" ht="60" customHeight="1" x14ac:dyDescent="0.3">
      <c r="A204" s="68">
        <f>A203+1</f>
        <v>175</v>
      </c>
      <c r="B204" s="68">
        <v>22</v>
      </c>
      <c r="C204" s="68" t="s">
        <v>16</v>
      </c>
      <c r="D204" s="68" t="s">
        <v>17</v>
      </c>
      <c r="E204" s="69" t="s">
        <v>778</v>
      </c>
      <c r="F204" s="69" t="s">
        <v>769</v>
      </c>
      <c r="G204" s="69" t="s">
        <v>210</v>
      </c>
      <c r="H204" s="69" t="s">
        <v>211</v>
      </c>
      <c r="I204" s="69" t="s">
        <v>779</v>
      </c>
      <c r="J204" s="68"/>
      <c r="K204" s="68"/>
      <c r="L204" s="68" t="s">
        <v>18</v>
      </c>
      <c r="M204" s="68" t="s">
        <v>213</v>
      </c>
      <c r="N204" s="68"/>
      <c r="O204" s="68" t="s">
        <v>213</v>
      </c>
      <c r="P204" s="68" t="s">
        <v>213</v>
      </c>
      <c r="Q204" s="68" t="s">
        <v>214</v>
      </c>
      <c r="R204" s="68" t="s">
        <v>155</v>
      </c>
      <c r="S204" s="68" t="s">
        <v>780</v>
      </c>
    </row>
    <row r="205" spans="1:19" ht="19.5" customHeight="1" x14ac:dyDescent="0.3">
      <c r="A205" s="6" t="s">
        <v>781</v>
      </c>
      <c r="B205" s="6"/>
      <c r="C205" s="6"/>
      <c r="D205" s="6"/>
      <c r="E205" s="6"/>
      <c r="F205" s="6"/>
      <c r="G205" s="6"/>
      <c r="H205" s="6"/>
      <c r="I205" s="6"/>
      <c r="J205" s="6"/>
      <c r="K205" s="6"/>
      <c r="L205" s="6"/>
      <c r="M205" s="6"/>
      <c r="N205" s="6"/>
      <c r="O205" s="6"/>
      <c r="P205" s="6"/>
      <c r="Q205" s="6"/>
      <c r="R205" s="5"/>
      <c r="S205" s="5"/>
    </row>
    <row r="206" spans="1:19" ht="60" customHeight="1" x14ac:dyDescent="0.3">
      <c r="A206" s="70">
        <f>A204+1</f>
        <v>176</v>
      </c>
      <c r="B206" s="70">
        <v>23</v>
      </c>
      <c r="C206" s="71" t="s">
        <v>16</v>
      </c>
      <c r="D206" s="71" t="s">
        <v>17</v>
      </c>
      <c r="E206" s="72" t="s">
        <v>782</v>
      </c>
      <c r="F206" s="72" t="s">
        <v>783</v>
      </c>
      <c r="G206" s="72" t="s">
        <v>292</v>
      </c>
      <c r="H206" s="72" t="s">
        <v>305</v>
      </c>
      <c r="I206" s="72" t="s">
        <v>784</v>
      </c>
      <c r="J206" s="70"/>
      <c r="K206" s="70"/>
      <c r="L206" s="71" t="s">
        <v>18</v>
      </c>
      <c r="M206" s="70" t="s">
        <v>213</v>
      </c>
      <c r="N206" s="70"/>
      <c r="O206" s="70" t="s">
        <v>213</v>
      </c>
      <c r="P206" s="70" t="s">
        <v>213</v>
      </c>
      <c r="Q206" s="70" t="s">
        <v>214</v>
      </c>
      <c r="R206" s="70" t="s">
        <v>160</v>
      </c>
      <c r="S206" s="70" t="s">
        <v>785</v>
      </c>
    </row>
    <row r="207" spans="1:19" ht="60" customHeight="1" x14ac:dyDescent="0.3">
      <c r="A207" s="68">
        <f>A206+1</f>
        <v>177</v>
      </c>
      <c r="B207" s="68">
        <v>23</v>
      </c>
      <c r="C207" s="68" t="s">
        <v>16</v>
      </c>
      <c r="D207" s="68" t="s">
        <v>17</v>
      </c>
      <c r="E207" s="69" t="s">
        <v>786</v>
      </c>
      <c r="F207" s="69" t="s">
        <v>783</v>
      </c>
      <c r="G207" s="69" t="s">
        <v>221</v>
      </c>
      <c r="H207" s="69" t="s">
        <v>222</v>
      </c>
      <c r="I207" s="69" t="s">
        <v>787</v>
      </c>
      <c r="J207" s="68"/>
      <c r="K207" s="68"/>
      <c r="L207" s="68" t="s">
        <v>18</v>
      </c>
      <c r="M207" s="68" t="s">
        <v>213</v>
      </c>
      <c r="N207" s="68"/>
      <c r="O207" s="68" t="s">
        <v>213</v>
      </c>
      <c r="P207" s="68" t="s">
        <v>213</v>
      </c>
      <c r="Q207" s="68" t="s">
        <v>214</v>
      </c>
      <c r="R207" s="68" t="s">
        <v>160</v>
      </c>
      <c r="S207" s="68" t="s">
        <v>788</v>
      </c>
    </row>
    <row r="208" spans="1:19" ht="60" customHeight="1" x14ac:dyDescent="0.3">
      <c r="A208" s="70">
        <f>A207+1</f>
        <v>178</v>
      </c>
      <c r="B208" s="70">
        <v>23</v>
      </c>
      <c r="C208" s="71" t="s">
        <v>54</v>
      </c>
      <c r="D208" s="71" t="s">
        <v>17</v>
      </c>
      <c r="E208" s="72" t="s">
        <v>789</v>
      </c>
      <c r="F208" s="72" t="s">
        <v>783</v>
      </c>
      <c r="G208" s="72" t="s">
        <v>323</v>
      </c>
      <c r="H208" s="72" t="s">
        <v>324</v>
      </c>
      <c r="I208" s="72" t="s">
        <v>790</v>
      </c>
      <c r="J208" s="70"/>
      <c r="K208" s="70"/>
      <c r="L208" s="71" t="s">
        <v>18</v>
      </c>
      <c r="M208" s="70" t="s">
        <v>213</v>
      </c>
      <c r="N208" s="70"/>
      <c r="O208" s="70" t="s">
        <v>213</v>
      </c>
      <c r="P208" s="70" t="s">
        <v>213</v>
      </c>
      <c r="Q208" s="70" t="s">
        <v>214</v>
      </c>
      <c r="R208" s="70" t="s">
        <v>160</v>
      </c>
      <c r="S208" s="70" t="s">
        <v>791</v>
      </c>
    </row>
    <row r="209" spans="1:19" ht="19.5" customHeight="1" x14ac:dyDescent="0.3">
      <c r="A209" s="6" t="s">
        <v>792</v>
      </c>
      <c r="B209" s="6"/>
      <c r="C209" s="6"/>
      <c r="D209" s="6"/>
      <c r="E209" s="6"/>
      <c r="F209" s="6"/>
      <c r="G209" s="6"/>
      <c r="H209" s="6"/>
      <c r="I209" s="6"/>
      <c r="J209" s="6"/>
      <c r="K209" s="6"/>
      <c r="L209" s="6"/>
      <c r="M209" s="6"/>
      <c r="N209" s="6"/>
      <c r="O209" s="6"/>
      <c r="P209" s="6"/>
      <c r="Q209" s="6"/>
      <c r="R209" s="5"/>
      <c r="S209" s="5"/>
    </row>
    <row r="210" spans="1:19" ht="60" customHeight="1" x14ac:dyDescent="0.3">
      <c r="A210" s="68">
        <f>A208+1</f>
        <v>179</v>
      </c>
      <c r="B210" s="68">
        <v>24</v>
      </c>
      <c r="C210" s="68" t="s">
        <v>54</v>
      </c>
      <c r="D210" s="68" t="s">
        <v>17</v>
      </c>
      <c r="E210" s="69" t="s">
        <v>793</v>
      </c>
      <c r="F210" s="69" t="s">
        <v>794</v>
      </c>
      <c r="G210" s="69" t="s">
        <v>323</v>
      </c>
      <c r="H210" s="69" t="s">
        <v>324</v>
      </c>
      <c r="I210" s="69" t="s">
        <v>795</v>
      </c>
      <c r="J210" s="68"/>
      <c r="K210" s="68"/>
      <c r="L210" s="68" t="s">
        <v>18</v>
      </c>
      <c r="M210" s="68" t="s">
        <v>213</v>
      </c>
      <c r="N210" s="68"/>
      <c r="O210" s="68" t="s">
        <v>213</v>
      </c>
      <c r="P210" s="68" t="s">
        <v>213</v>
      </c>
      <c r="Q210" s="68" t="s">
        <v>214</v>
      </c>
      <c r="R210" s="68" t="s">
        <v>165</v>
      </c>
      <c r="S210" s="68" t="s">
        <v>796</v>
      </c>
    </row>
    <row r="211" spans="1:19" ht="60" customHeight="1" x14ac:dyDescent="0.3">
      <c r="A211" s="70">
        <f>A210+1</f>
        <v>180</v>
      </c>
      <c r="B211" s="70">
        <v>24</v>
      </c>
      <c r="C211" s="71" t="s">
        <v>54</v>
      </c>
      <c r="D211" s="71" t="s">
        <v>17</v>
      </c>
      <c r="E211" s="72" t="s">
        <v>797</v>
      </c>
      <c r="F211" s="72" t="s">
        <v>794</v>
      </c>
      <c r="G211" s="72" t="s">
        <v>323</v>
      </c>
      <c r="H211" s="72" t="s">
        <v>324</v>
      </c>
      <c r="I211" s="72" t="s">
        <v>798</v>
      </c>
      <c r="J211" s="70"/>
      <c r="K211" s="70"/>
      <c r="L211" s="71" t="s">
        <v>18</v>
      </c>
      <c r="M211" s="70" t="s">
        <v>213</v>
      </c>
      <c r="N211" s="70"/>
      <c r="O211" s="70" t="s">
        <v>213</v>
      </c>
      <c r="P211" s="70" t="s">
        <v>213</v>
      </c>
      <c r="Q211" s="70" t="s">
        <v>214</v>
      </c>
      <c r="R211" s="70" t="s">
        <v>165</v>
      </c>
      <c r="S211" s="70" t="s">
        <v>799</v>
      </c>
    </row>
    <row r="212" spans="1:19" ht="60" customHeight="1" x14ac:dyDescent="0.3">
      <c r="A212" s="68">
        <f>A211+1</f>
        <v>181</v>
      </c>
      <c r="B212" s="68">
        <v>24</v>
      </c>
      <c r="C212" s="68" t="s">
        <v>54</v>
      </c>
      <c r="D212" s="68" t="s">
        <v>17</v>
      </c>
      <c r="E212" s="69" t="s">
        <v>800</v>
      </c>
      <c r="F212" s="69" t="s">
        <v>794</v>
      </c>
      <c r="G212" s="69" t="s">
        <v>323</v>
      </c>
      <c r="H212" s="69" t="s">
        <v>324</v>
      </c>
      <c r="I212" s="69" t="s">
        <v>801</v>
      </c>
      <c r="J212" s="68"/>
      <c r="K212" s="68"/>
      <c r="L212" s="68" t="s">
        <v>18</v>
      </c>
      <c r="M212" s="68" t="s">
        <v>213</v>
      </c>
      <c r="N212" s="68"/>
      <c r="O212" s="68" t="s">
        <v>213</v>
      </c>
      <c r="P212" s="68" t="s">
        <v>213</v>
      </c>
      <c r="Q212" s="68" t="s">
        <v>214</v>
      </c>
      <c r="R212" s="68" t="s">
        <v>165</v>
      </c>
      <c r="S212" s="68" t="s">
        <v>802</v>
      </c>
    </row>
    <row r="213" spans="1:19" ht="60" customHeight="1" x14ac:dyDescent="0.3">
      <c r="A213" s="70">
        <f>A212+1</f>
        <v>182</v>
      </c>
      <c r="B213" s="70">
        <v>24</v>
      </c>
      <c r="C213" s="71" t="s">
        <v>54</v>
      </c>
      <c r="D213" s="71" t="s">
        <v>17</v>
      </c>
      <c r="E213" s="72" t="s">
        <v>803</v>
      </c>
      <c r="F213" s="72" t="s">
        <v>794</v>
      </c>
      <c r="G213" s="72" t="s">
        <v>323</v>
      </c>
      <c r="H213" s="72" t="s">
        <v>324</v>
      </c>
      <c r="I213" s="72" t="s">
        <v>804</v>
      </c>
      <c r="J213" s="70"/>
      <c r="K213" s="70"/>
      <c r="L213" s="71" t="s">
        <v>18</v>
      </c>
      <c r="M213" s="70" t="s">
        <v>213</v>
      </c>
      <c r="N213" s="70"/>
      <c r="O213" s="70" t="s">
        <v>213</v>
      </c>
      <c r="P213" s="70" t="s">
        <v>213</v>
      </c>
      <c r="Q213" s="70" t="s">
        <v>214</v>
      </c>
      <c r="R213" s="70" t="s">
        <v>165</v>
      </c>
      <c r="S213" s="70" t="s">
        <v>805</v>
      </c>
    </row>
    <row r="214" spans="1:19" ht="60" customHeight="1" x14ac:dyDescent="0.3">
      <c r="A214" s="68">
        <f>A213+1</f>
        <v>183</v>
      </c>
      <c r="B214" s="68">
        <v>24</v>
      </c>
      <c r="C214" s="68" t="s">
        <v>54</v>
      </c>
      <c r="D214" s="68" t="s">
        <v>17</v>
      </c>
      <c r="E214" s="69" t="s">
        <v>806</v>
      </c>
      <c r="F214" s="69" t="s">
        <v>794</v>
      </c>
      <c r="G214" s="69" t="s">
        <v>323</v>
      </c>
      <c r="H214" s="69" t="s">
        <v>324</v>
      </c>
      <c r="I214" s="69" t="s">
        <v>807</v>
      </c>
      <c r="J214" s="68"/>
      <c r="K214" s="68"/>
      <c r="L214" s="68" t="s">
        <v>18</v>
      </c>
      <c r="M214" s="68" t="s">
        <v>213</v>
      </c>
      <c r="N214" s="68"/>
      <c r="O214" s="68" t="s">
        <v>213</v>
      </c>
      <c r="P214" s="68" t="s">
        <v>213</v>
      </c>
      <c r="Q214" s="68" t="s">
        <v>214</v>
      </c>
      <c r="R214" s="68" t="s">
        <v>165</v>
      </c>
      <c r="S214" s="68" t="s">
        <v>808</v>
      </c>
    </row>
    <row r="215" spans="1:19" ht="19.5" customHeight="1" x14ac:dyDescent="0.3">
      <c r="A215" s="6" t="s">
        <v>809</v>
      </c>
      <c r="B215" s="6"/>
      <c r="C215" s="6"/>
      <c r="D215" s="6"/>
      <c r="E215" s="6"/>
      <c r="F215" s="6"/>
      <c r="G215" s="6"/>
      <c r="H215" s="6"/>
      <c r="I215" s="6"/>
      <c r="J215" s="6"/>
      <c r="K215" s="6"/>
      <c r="L215" s="6"/>
      <c r="M215" s="6"/>
      <c r="N215" s="6"/>
      <c r="O215" s="6"/>
      <c r="P215" s="6"/>
      <c r="Q215" s="6"/>
      <c r="R215" s="5"/>
      <c r="S215" s="5"/>
    </row>
    <row r="216" spans="1:19" ht="60" customHeight="1" x14ac:dyDescent="0.3">
      <c r="A216" s="70">
        <f>A214+1</f>
        <v>184</v>
      </c>
      <c r="B216" s="70">
        <v>25</v>
      </c>
      <c r="C216" s="71" t="s">
        <v>16</v>
      </c>
      <c r="D216" s="71" t="s">
        <v>17</v>
      </c>
      <c r="E216" s="72" t="s">
        <v>810</v>
      </c>
      <c r="F216" s="72" t="s">
        <v>811</v>
      </c>
      <c r="G216" s="72" t="s">
        <v>210</v>
      </c>
      <c r="H216" s="72" t="s">
        <v>211</v>
      </c>
      <c r="I216" s="72" t="s">
        <v>812</v>
      </c>
      <c r="J216" s="70"/>
      <c r="K216" s="70"/>
      <c r="L216" s="71" t="s">
        <v>18</v>
      </c>
      <c r="M216" s="70" t="s">
        <v>213</v>
      </c>
      <c r="N216" s="70"/>
      <c r="O216" s="70" t="s">
        <v>213</v>
      </c>
      <c r="P216" s="70" t="s">
        <v>213</v>
      </c>
      <c r="Q216" s="70" t="s">
        <v>214</v>
      </c>
      <c r="R216" s="70" t="s">
        <v>11</v>
      </c>
      <c r="S216" s="70" t="s">
        <v>813</v>
      </c>
    </row>
    <row r="217" spans="1:19" ht="60" customHeight="1" x14ac:dyDescent="0.3">
      <c r="A217" s="68">
        <f t="shared" ref="A217:A223" si="11">A216+1</f>
        <v>185</v>
      </c>
      <c r="B217" s="68">
        <v>25</v>
      </c>
      <c r="C217" s="68" t="s">
        <v>16</v>
      </c>
      <c r="D217" s="68" t="s">
        <v>17</v>
      </c>
      <c r="E217" s="69" t="s">
        <v>814</v>
      </c>
      <c r="F217" s="69" t="s">
        <v>811</v>
      </c>
      <c r="G217" s="69" t="s">
        <v>210</v>
      </c>
      <c r="H217" s="69" t="s">
        <v>211</v>
      </c>
      <c r="I217" s="69" t="s">
        <v>815</v>
      </c>
      <c r="J217" s="68"/>
      <c r="K217" s="68"/>
      <c r="L217" s="68" t="s">
        <v>18</v>
      </c>
      <c r="M217" s="68" t="s">
        <v>213</v>
      </c>
      <c r="N217" s="68"/>
      <c r="O217" s="68" t="s">
        <v>213</v>
      </c>
      <c r="P217" s="68" t="s">
        <v>213</v>
      </c>
      <c r="Q217" s="68" t="s">
        <v>214</v>
      </c>
      <c r="R217" s="68" t="s">
        <v>11</v>
      </c>
      <c r="S217" s="68" t="s">
        <v>816</v>
      </c>
    </row>
    <row r="218" spans="1:19" ht="60" customHeight="1" x14ac:dyDescent="0.3">
      <c r="A218" s="70">
        <f t="shared" si="11"/>
        <v>186</v>
      </c>
      <c r="B218" s="70">
        <v>25</v>
      </c>
      <c r="C218" s="71" t="s">
        <v>16</v>
      </c>
      <c r="D218" s="71" t="s">
        <v>17</v>
      </c>
      <c r="E218" s="72" t="s">
        <v>817</v>
      </c>
      <c r="F218" s="72" t="s">
        <v>811</v>
      </c>
      <c r="G218" s="72" t="s">
        <v>210</v>
      </c>
      <c r="H218" s="72" t="s">
        <v>211</v>
      </c>
      <c r="I218" s="72" t="s">
        <v>818</v>
      </c>
      <c r="J218" s="70"/>
      <c r="K218" s="70"/>
      <c r="L218" s="71" t="s">
        <v>18</v>
      </c>
      <c r="M218" s="70" t="s">
        <v>213</v>
      </c>
      <c r="N218" s="70"/>
      <c r="O218" s="70" t="s">
        <v>213</v>
      </c>
      <c r="P218" s="70" t="s">
        <v>213</v>
      </c>
      <c r="Q218" s="70" t="s">
        <v>214</v>
      </c>
      <c r="R218" s="70" t="s">
        <v>11</v>
      </c>
      <c r="S218" s="70" t="s">
        <v>819</v>
      </c>
    </row>
    <row r="219" spans="1:19" ht="60" customHeight="1" x14ac:dyDescent="0.3">
      <c r="A219" s="68">
        <f t="shared" si="11"/>
        <v>187</v>
      </c>
      <c r="B219" s="68">
        <v>25</v>
      </c>
      <c r="C219" s="68" t="s">
        <v>54</v>
      </c>
      <c r="D219" s="68" t="s">
        <v>17</v>
      </c>
      <c r="E219" s="69" t="s">
        <v>820</v>
      </c>
      <c r="F219" s="69" t="s">
        <v>811</v>
      </c>
      <c r="G219" s="69" t="s">
        <v>263</v>
      </c>
      <c r="H219" s="69" t="s">
        <v>264</v>
      </c>
      <c r="I219" s="69" t="s">
        <v>821</v>
      </c>
      <c r="J219" s="68"/>
      <c r="K219" s="68"/>
      <c r="L219" s="68" t="s">
        <v>18</v>
      </c>
      <c r="M219" s="68" t="s">
        <v>213</v>
      </c>
      <c r="N219" s="68"/>
      <c r="O219" s="68" t="s">
        <v>213</v>
      </c>
      <c r="P219" s="68" t="s">
        <v>213</v>
      </c>
      <c r="Q219" s="68" t="s">
        <v>214</v>
      </c>
      <c r="R219" s="68" t="s">
        <v>11</v>
      </c>
      <c r="S219" s="68" t="s">
        <v>822</v>
      </c>
    </row>
    <row r="220" spans="1:19" ht="60" customHeight="1" x14ac:dyDescent="0.3">
      <c r="A220" s="70">
        <f t="shared" si="11"/>
        <v>188</v>
      </c>
      <c r="B220" s="70">
        <v>25</v>
      </c>
      <c r="C220" s="71" t="s">
        <v>54</v>
      </c>
      <c r="D220" s="71" t="s">
        <v>17</v>
      </c>
      <c r="E220" s="72" t="s">
        <v>823</v>
      </c>
      <c r="F220" s="72" t="s">
        <v>811</v>
      </c>
      <c r="G220" s="72" t="s">
        <v>263</v>
      </c>
      <c r="H220" s="72" t="s">
        <v>264</v>
      </c>
      <c r="I220" s="72" t="s">
        <v>824</v>
      </c>
      <c r="J220" s="70"/>
      <c r="K220" s="70"/>
      <c r="L220" s="71" t="s">
        <v>18</v>
      </c>
      <c r="M220" s="70" t="s">
        <v>213</v>
      </c>
      <c r="N220" s="70"/>
      <c r="O220" s="70" t="s">
        <v>213</v>
      </c>
      <c r="P220" s="70" t="s">
        <v>213</v>
      </c>
      <c r="Q220" s="70" t="s">
        <v>214</v>
      </c>
      <c r="R220" s="70" t="s">
        <v>11</v>
      </c>
      <c r="S220" s="70" t="s">
        <v>825</v>
      </c>
    </row>
    <row r="221" spans="1:19" ht="60" customHeight="1" x14ac:dyDescent="0.3">
      <c r="A221" s="68">
        <f t="shared" si="11"/>
        <v>189</v>
      </c>
      <c r="B221" s="68">
        <v>25</v>
      </c>
      <c r="C221" s="68" t="s">
        <v>16</v>
      </c>
      <c r="D221" s="68" t="s">
        <v>17</v>
      </c>
      <c r="E221" s="69" t="s">
        <v>826</v>
      </c>
      <c r="F221" s="69" t="s">
        <v>811</v>
      </c>
      <c r="G221" s="69" t="s">
        <v>210</v>
      </c>
      <c r="H221" s="69" t="s">
        <v>211</v>
      </c>
      <c r="I221" s="69" t="s">
        <v>827</v>
      </c>
      <c r="J221" s="68"/>
      <c r="K221" s="68"/>
      <c r="L221" s="68" t="s">
        <v>18</v>
      </c>
      <c r="M221" s="68" t="s">
        <v>213</v>
      </c>
      <c r="N221" s="68"/>
      <c r="O221" s="68" t="s">
        <v>213</v>
      </c>
      <c r="P221" s="68" t="s">
        <v>213</v>
      </c>
      <c r="Q221" s="68" t="s">
        <v>214</v>
      </c>
      <c r="R221" s="68" t="s">
        <v>11</v>
      </c>
      <c r="S221" s="68" t="s">
        <v>828</v>
      </c>
    </row>
    <row r="222" spans="1:19" ht="60" customHeight="1" x14ac:dyDescent="0.3">
      <c r="A222" s="70">
        <f t="shared" si="11"/>
        <v>190</v>
      </c>
      <c r="B222" s="70">
        <v>25</v>
      </c>
      <c r="C222" s="71" t="s">
        <v>16</v>
      </c>
      <c r="D222" s="71" t="s">
        <v>17</v>
      </c>
      <c r="E222" s="72" t="s">
        <v>829</v>
      </c>
      <c r="F222" s="72" t="s">
        <v>811</v>
      </c>
      <c r="G222" s="72" t="s">
        <v>210</v>
      </c>
      <c r="H222" s="72" t="s">
        <v>211</v>
      </c>
      <c r="I222" s="72" t="s">
        <v>830</v>
      </c>
      <c r="J222" s="70"/>
      <c r="K222" s="70"/>
      <c r="L222" s="71" t="s">
        <v>18</v>
      </c>
      <c r="M222" s="70" t="s">
        <v>213</v>
      </c>
      <c r="N222" s="70"/>
      <c r="O222" s="70" t="s">
        <v>213</v>
      </c>
      <c r="P222" s="70" t="s">
        <v>213</v>
      </c>
      <c r="Q222" s="70" t="s">
        <v>214</v>
      </c>
      <c r="R222" s="70" t="s">
        <v>11</v>
      </c>
      <c r="S222" s="70" t="s">
        <v>831</v>
      </c>
    </row>
    <row r="223" spans="1:19" ht="60" customHeight="1" x14ac:dyDescent="0.3">
      <c r="A223" s="68">
        <f t="shared" si="11"/>
        <v>191</v>
      </c>
      <c r="B223" s="68">
        <v>25</v>
      </c>
      <c r="C223" s="68" t="s">
        <v>16</v>
      </c>
      <c r="D223" s="68" t="s">
        <v>17</v>
      </c>
      <c r="E223" s="69" t="s">
        <v>832</v>
      </c>
      <c r="F223" s="69" t="s">
        <v>811</v>
      </c>
      <c r="G223" s="69" t="s">
        <v>210</v>
      </c>
      <c r="H223" s="69" t="s">
        <v>211</v>
      </c>
      <c r="I223" s="69" t="s">
        <v>833</v>
      </c>
      <c r="J223" s="68"/>
      <c r="K223" s="68"/>
      <c r="L223" s="68" t="s">
        <v>18</v>
      </c>
      <c r="M223" s="68" t="s">
        <v>213</v>
      </c>
      <c r="N223" s="68"/>
      <c r="O223" s="68" t="s">
        <v>213</v>
      </c>
      <c r="P223" s="68" t="s">
        <v>213</v>
      </c>
      <c r="Q223" s="68" t="s">
        <v>214</v>
      </c>
      <c r="R223" s="68" t="s">
        <v>11</v>
      </c>
      <c r="S223" s="68" t="s">
        <v>834</v>
      </c>
    </row>
    <row r="224" spans="1:19" ht="19.5" customHeight="1" x14ac:dyDescent="0.3">
      <c r="A224" s="6" t="s">
        <v>835</v>
      </c>
      <c r="B224" s="6"/>
      <c r="C224" s="6"/>
      <c r="D224" s="6"/>
      <c r="E224" s="6"/>
      <c r="F224" s="6"/>
      <c r="G224" s="6"/>
      <c r="H224" s="6"/>
      <c r="I224" s="6"/>
      <c r="J224" s="6"/>
      <c r="K224" s="6"/>
      <c r="L224" s="6"/>
      <c r="M224" s="6"/>
      <c r="N224" s="6"/>
      <c r="O224" s="6"/>
      <c r="P224" s="6"/>
      <c r="Q224" s="6"/>
      <c r="R224" s="5"/>
      <c r="S224" s="5"/>
    </row>
    <row r="225" spans="1:19" ht="60" customHeight="1" x14ac:dyDescent="0.3">
      <c r="A225" s="70">
        <f>A223+1</f>
        <v>192</v>
      </c>
      <c r="B225" s="70">
        <v>26</v>
      </c>
      <c r="C225" s="71" t="s">
        <v>16</v>
      </c>
      <c r="D225" s="71" t="s">
        <v>17</v>
      </c>
      <c r="E225" s="72" t="s">
        <v>836</v>
      </c>
      <c r="F225" s="72" t="s">
        <v>811</v>
      </c>
      <c r="G225" s="72" t="s">
        <v>210</v>
      </c>
      <c r="H225" s="72" t="s">
        <v>211</v>
      </c>
      <c r="I225" s="72" t="s">
        <v>837</v>
      </c>
      <c r="J225" s="70"/>
      <c r="K225" s="70"/>
      <c r="L225" s="71" t="s">
        <v>18</v>
      </c>
      <c r="M225" s="70" t="s">
        <v>213</v>
      </c>
      <c r="N225" s="70"/>
      <c r="O225" s="70" t="s">
        <v>213</v>
      </c>
      <c r="P225" s="70" t="s">
        <v>213</v>
      </c>
      <c r="Q225" s="70" t="s">
        <v>214</v>
      </c>
      <c r="R225" s="70" t="s">
        <v>19</v>
      </c>
      <c r="S225" s="70" t="s">
        <v>838</v>
      </c>
    </row>
    <row r="226" spans="1:19" ht="60" customHeight="1" x14ac:dyDescent="0.3">
      <c r="A226" s="68">
        <f t="shared" ref="A226:A231" si="12">A225+1</f>
        <v>193</v>
      </c>
      <c r="B226" s="68">
        <v>26</v>
      </c>
      <c r="C226" s="68" t="s">
        <v>54</v>
      </c>
      <c r="D226" s="68" t="s">
        <v>17</v>
      </c>
      <c r="E226" s="69" t="s">
        <v>839</v>
      </c>
      <c r="F226" s="69" t="s">
        <v>811</v>
      </c>
      <c r="G226" s="69" t="s">
        <v>263</v>
      </c>
      <c r="H226" s="69" t="s">
        <v>264</v>
      </c>
      <c r="I226" s="69" t="s">
        <v>840</v>
      </c>
      <c r="J226" s="68"/>
      <c r="K226" s="68"/>
      <c r="L226" s="68" t="s">
        <v>18</v>
      </c>
      <c r="M226" s="68" t="s">
        <v>213</v>
      </c>
      <c r="N226" s="68"/>
      <c r="O226" s="68" t="s">
        <v>213</v>
      </c>
      <c r="P226" s="68" t="s">
        <v>213</v>
      </c>
      <c r="Q226" s="68" t="s">
        <v>214</v>
      </c>
      <c r="R226" s="68" t="s">
        <v>19</v>
      </c>
      <c r="S226" s="68" t="s">
        <v>841</v>
      </c>
    </row>
    <row r="227" spans="1:19" ht="60" customHeight="1" x14ac:dyDescent="0.3">
      <c r="A227" s="70">
        <f t="shared" si="12"/>
        <v>194</v>
      </c>
      <c r="B227" s="70">
        <v>26</v>
      </c>
      <c r="C227" s="71" t="s">
        <v>16</v>
      </c>
      <c r="D227" s="71" t="s">
        <v>17</v>
      </c>
      <c r="E227" s="72" t="s">
        <v>842</v>
      </c>
      <c r="F227" s="72" t="s">
        <v>811</v>
      </c>
      <c r="G227" s="72" t="s">
        <v>210</v>
      </c>
      <c r="H227" s="72" t="s">
        <v>211</v>
      </c>
      <c r="I227" s="72" t="s">
        <v>843</v>
      </c>
      <c r="J227" s="70"/>
      <c r="K227" s="70"/>
      <c r="L227" s="71" t="s">
        <v>18</v>
      </c>
      <c r="M227" s="70" t="s">
        <v>213</v>
      </c>
      <c r="N227" s="70"/>
      <c r="O227" s="70" t="s">
        <v>213</v>
      </c>
      <c r="P227" s="70" t="s">
        <v>213</v>
      </c>
      <c r="Q227" s="70" t="s">
        <v>214</v>
      </c>
      <c r="R227" s="70" t="s">
        <v>19</v>
      </c>
      <c r="S227" s="70" t="s">
        <v>844</v>
      </c>
    </row>
    <row r="228" spans="1:19" ht="60" customHeight="1" x14ac:dyDescent="0.3">
      <c r="A228" s="68">
        <f t="shared" si="12"/>
        <v>195</v>
      </c>
      <c r="B228" s="68">
        <v>26</v>
      </c>
      <c r="C228" s="68" t="s">
        <v>226</v>
      </c>
      <c r="D228" s="68" t="s">
        <v>17</v>
      </c>
      <c r="E228" s="69" t="s">
        <v>845</v>
      </c>
      <c r="F228" s="69" t="s">
        <v>846</v>
      </c>
      <c r="G228" s="69" t="s">
        <v>228</v>
      </c>
      <c r="H228" s="69" t="s">
        <v>229</v>
      </c>
      <c r="I228" s="69" t="s">
        <v>847</v>
      </c>
      <c r="J228" s="68"/>
      <c r="K228" s="68"/>
      <c r="L228" s="68" t="s">
        <v>18</v>
      </c>
      <c r="M228" s="68" t="s">
        <v>213</v>
      </c>
      <c r="N228" s="68"/>
      <c r="O228" s="68" t="s">
        <v>213</v>
      </c>
      <c r="P228" s="68" t="s">
        <v>213</v>
      </c>
      <c r="Q228" s="68" t="s">
        <v>214</v>
      </c>
      <c r="R228" s="68" t="s">
        <v>19</v>
      </c>
      <c r="S228" s="68" t="s">
        <v>848</v>
      </c>
    </row>
    <row r="229" spans="1:19" ht="60" customHeight="1" x14ac:dyDescent="0.3">
      <c r="A229" s="70">
        <f t="shared" si="12"/>
        <v>196</v>
      </c>
      <c r="B229" s="70">
        <v>26</v>
      </c>
      <c r="C229" s="71" t="s">
        <v>226</v>
      </c>
      <c r="D229" s="71" t="s">
        <v>17</v>
      </c>
      <c r="E229" s="72" t="s">
        <v>849</v>
      </c>
      <c r="F229" s="72" t="s">
        <v>846</v>
      </c>
      <c r="G229" s="72" t="s">
        <v>228</v>
      </c>
      <c r="H229" s="72" t="s">
        <v>229</v>
      </c>
      <c r="I229" s="72" t="s">
        <v>850</v>
      </c>
      <c r="J229" s="70"/>
      <c r="K229" s="70"/>
      <c r="L229" s="71" t="s">
        <v>18</v>
      </c>
      <c r="M229" s="70" t="s">
        <v>213</v>
      </c>
      <c r="N229" s="70"/>
      <c r="O229" s="70" t="s">
        <v>213</v>
      </c>
      <c r="P229" s="70" t="s">
        <v>213</v>
      </c>
      <c r="Q229" s="70" t="s">
        <v>214</v>
      </c>
      <c r="R229" s="70" t="s">
        <v>19</v>
      </c>
      <c r="S229" s="70" t="s">
        <v>851</v>
      </c>
    </row>
    <row r="230" spans="1:19" ht="60" customHeight="1" x14ac:dyDescent="0.3">
      <c r="A230" s="68">
        <f t="shared" si="12"/>
        <v>197</v>
      </c>
      <c r="B230" s="68">
        <v>26</v>
      </c>
      <c r="C230" s="68" t="s">
        <v>226</v>
      </c>
      <c r="D230" s="68" t="s">
        <v>17</v>
      </c>
      <c r="E230" s="69" t="s">
        <v>852</v>
      </c>
      <c r="F230" s="69" t="s">
        <v>846</v>
      </c>
      <c r="G230" s="69" t="s">
        <v>228</v>
      </c>
      <c r="H230" s="69" t="s">
        <v>229</v>
      </c>
      <c r="I230" s="69" t="s">
        <v>853</v>
      </c>
      <c r="J230" s="68"/>
      <c r="K230" s="68"/>
      <c r="L230" s="68" t="s">
        <v>18</v>
      </c>
      <c r="M230" s="68" t="s">
        <v>213</v>
      </c>
      <c r="N230" s="68"/>
      <c r="O230" s="68" t="s">
        <v>213</v>
      </c>
      <c r="P230" s="68" t="s">
        <v>213</v>
      </c>
      <c r="Q230" s="68" t="s">
        <v>214</v>
      </c>
      <c r="R230" s="68" t="s">
        <v>19</v>
      </c>
      <c r="S230" s="68" t="s">
        <v>854</v>
      </c>
    </row>
    <row r="231" spans="1:19" ht="60" customHeight="1" x14ac:dyDescent="0.3">
      <c r="A231" s="70">
        <f t="shared" si="12"/>
        <v>198</v>
      </c>
      <c r="B231" s="70">
        <v>26</v>
      </c>
      <c r="C231" s="71" t="s">
        <v>16</v>
      </c>
      <c r="D231" s="71" t="s">
        <v>17</v>
      </c>
      <c r="E231" s="72" t="s">
        <v>855</v>
      </c>
      <c r="F231" s="72" t="s">
        <v>811</v>
      </c>
      <c r="G231" s="72" t="s">
        <v>210</v>
      </c>
      <c r="H231" s="72" t="s">
        <v>211</v>
      </c>
      <c r="I231" s="72" t="s">
        <v>856</v>
      </c>
      <c r="J231" s="70"/>
      <c r="K231" s="70"/>
      <c r="L231" s="71" t="s">
        <v>18</v>
      </c>
      <c r="M231" s="70" t="s">
        <v>213</v>
      </c>
      <c r="N231" s="70"/>
      <c r="O231" s="70" t="s">
        <v>213</v>
      </c>
      <c r="P231" s="70" t="s">
        <v>213</v>
      </c>
      <c r="Q231" s="70" t="s">
        <v>214</v>
      </c>
      <c r="R231" s="70" t="s">
        <v>19</v>
      </c>
      <c r="S231" s="70" t="s">
        <v>857</v>
      </c>
    </row>
    <row r="232" spans="1:19" ht="19.5" customHeight="1" x14ac:dyDescent="0.3">
      <c r="A232" s="6" t="s">
        <v>858</v>
      </c>
      <c r="B232" s="6"/>
      <c r="C232" s="6"/>
      <c r="D232" s="6"/>
      <c r="E232" s="6"/>
      <c r="F232" s="6"/>
      <c r="G232" s="6"/>
      <c r="H232" s="6"/>
      <c r="I232" s="6"/>
      <c r="J232" s="6"/>
      <c r="K232" s="6"/>
      <c r="L232" s="6"/>
      <c r="M232" s="6"/>
      <c r="N232" s="6"/>
      <c r="O232" s="6"/>
      <c r="P232" s="6"/>
      <c r="Q232" s="6"/>
      <c r="R232" s="5"/>
      <c r="S232" s="5"/>
    </row>
    <row r="233" spans="1:19" ht="60" customHeight="1" x14ac:dyDescent="0.3">
      <c r="A233" s="68">
        <f>A231+1</f>
        <v>199</v>
      </c>
      <c r="B233" s="68">
        <v>27</v>
      </c>
      <c r="C233" s="68" t="s">
        <v>16</v>
      </c>
      <c r="D233" s="68" t="s">
        <v>17</v>
      </c>
      <c r="E233" s="69" t="s">
        <v>859</v>
      </c>
      <c r="F233" s="69" t="s">
        <v>860</v>
      </c>
      <c r="G233" s="69" t="s">
        <v>210</v>
      </c>
      <c r="H233" s="69" t="s">
        <v>211</v>
      </c>
      <c r="I233" s="69" t="s">
        <v>861</v>
      </c>
      <c r="J233" s="68"/>
      <c r="K233" s="68"/>
      <c r="L233" s="68" t="s">
        <v>18</v>
      </c>
      <c r="M233" s="68" t="s">
        <v>213</v>
      </c>
      <c r="N233" s="68"/>
      <c r="O233" s="68" t="s">
        <v>213</v>
      </c>
      <c r="P233" s="68" t="s">
        <v>213</v>
      </c>
      <c r="Q233" s="68" t="s">
        <v>214</v>
      </c>
      <c r="R233" s="68" t="s">
        <v>24</v>
      </c>
      <c r="S233" s="68" t="s">
        <v>862</v>
      </c>
    </row>
    <row r="234" spans="1:19" ht="60" customHeight="1" x14ac:dyDescent="0.3">
      <c r="A234" s="70">
        <f>A233+1</f>
        <v>200</v>
      </c>
      <c r="B234" s="70">
        <v>27</v>
      </c>
      <c r="C234" s="71" t="s">
        <v>16</v>
      </c>
      <c r="D234" s="71" t="s">
        <v>17</v>
      </c>
      <c r="E234" s="72" t="s">
        <v>863</v>
      </c>
      <c r="F234" s="72" t="s">
        <v>860</v>
      </c>
      <c r="G234" s="72" t="s">
        <v>221</v>
      </c>
      <c r="H234" s="72" t="s">
        <v>222</v>
      </c>
      <c r="I234" s="72" t="s">
        <v>864</v>
      </c>
      <c r="J234" s="70"/>
      <c r="K234" s="70"/>
      <c r="L234" s="71" t="s">
        <v>18</v>
      </c>
      <c r="M234" s="70" t="s">
        <v>213</v>
      </c>
      <c r="N234" s="70"/>
      <c r="O234" s="70" t="s">
        <v>213</v>
      </c>
      <c r="P234" s="70" t="s">
        <v>213</v>
      </c>
      <c r="Q234" s="70" t="s">
        <v>214</v>
      </c>
      <c r="R234" s="70" t="s">
        <v>24</v>
      </c>
      <c r="S234" s="70" t="s">
        <v>865</v>
      </c>
    </row>
    <row r="235" spans="1:19" ht="60" customHeight="1" x14ac:dyDescent="0.3">
      <c r="A235" s="68">
        <f>A234+1</f>
        <v>201</v>
      </c>
      <c r="B235" s="68">
        <v>27</v>
      </c>
      <c r="C235" s="68" t="s">
        <v>16</v>
      </c>
      <c r="D235" s="68" t="s">
        <v>17</v>
      </c>
      <c r="E235" s="69" t="s">
        <v>866</v>
      </c>
      <c r="F235" s="69" t="s">
        <v>860</v>
      </c>
      <c r="G235" s="69" t="s">
        <v>210</v>
      </c>
      <c r="H235" s="69" t="s">
        <v>211</v>
      </c>
      <c r="I235" s="69" t="s">
        <v>867</v>
      </c>
      <c r="J235" s="68"/>
      <c r="K235" s="68"/>
      <c r="L235" s="68" t="s">
        <v>18</v>
      </c>
      <c r="M235" s="68" t="s">
        <v>213</v>
      </c>
      <c r="N235" s="68"/>
      <c r="O235" s="68" t="s">
        <v>213</v>
      </c>
      <c r="P235" s="68" t="s">
        <v>213</v>
      </c>
      <c r="Q235" s="68" t="s">
        <v>214</v>
      </c>
      <c r="R235" s="68" t="s">
        <v>24</v>
      </c>
      <c r="S235" s="68" t="s">
        <v>868</v>
      </c>
    </row>
    <row r="236" spans="1:19" ht="60" customHeight="1" x14ac:dyDescent="0.3">
      <c r="A236" s="70">
        <f>A235+1</f>
        <v>202</v>
      </c>
      <c r="B236" s="70">
        <v>27</v>
      </c>
      <c r="C236" s="71" t="s">
        <v>54</v>
      </c>
      <c r="D236" s="71" t="s">
        <v>17</v>
      </c>
      <c r="E236" s="72" t="s">
        <v>869</v>
      </c>
      <c r="F236" s="72" t="s">
        <v>860</v>
      </c>
      <c r="G236" s="72" t="s">
        <v>323</v>
      </c>
      <c r="H236" s="72" t="s">
        <v>324</v>
      </c>
      <c r="I236" s="72" t="s">
        <v>870</v>
      </c>
      <c r="J236" s="70"/>
      <c r="K236" s="70"/>
      <c r="L236" s="71" t="s">
        <v>18</v>
      </c>
      <c r="M236" s="70" t="s">
        <v>213</v>
      </c>
      <c r="N236" s="70"/>
      <c r="O236" s="70" t="s">
        <v>213</v>
      </c>
      <c r="P236" s="70" t="s">
        <v>213</v>
      </c>
      <c r="Q236" s="70" t="s">
        <v>214</v>
      </c>
      <c r="R236" s="70" t="s">
        <v>24</v>
      </c>
      <c r="S236" s="70" t="s">
        <v>871</v>
      </c>
    </row>
    <row r="237" spans="1:19" ht="60" customHeight="1" x14ac:dyDescent="0.3">
      <c r="A237" s="68">
        <f>A236+1</f>
        <v>203</v>
      </c>
      <c r="B237" s="68">
        <v>27</v>
      </c>
      <c r="C237" s="68" t="s">
        <v>16</v>
      </c>
      <c r="D237" s="68" t="s">
        <v>17</v>
      </c>
      <c r="E237" s="69" t="s">
        <v>872</v>
      </c>
      <c r="F237" s="69" t="s">
        <v>860</v>
      </c>
      <c r="G237" s="69" t="s">
        <v>221</v>
      </c>
      <c r="H237" s="69" t="s">
        <v>222</v>
      </c>
      <c r="I237" s="69" t="s">
        <v>873</v>
      </c>
      <c r="J237" s="68"/>
      <c r="K237" s="68"/>
      <c r="L237" s="68" t="s">
        <v>18</v>
      </c>
      <c r="M237" s="68" t="s">
        <v>213</v>
      </c>
      <c r="N237" s="68"/>
      <c r="O237" s="68" t="s">
        <v>213</v>
      </c>
      <c r="P237" s="68" t="s">
        <v>213</v>
      </c>
      <c r="Q237" s="68" t="s">
        <v>214</v>
      </c>
      <c r="R237" s="68" t="s">
        <v>24</v>
      </c>
      <c r="S237" s="68" t="s">
        <v>874</v>
      </c>
    </row>
    <row r="238" spans="1:19" ht="19.5" customHeight="1" x14ac:dyDescent="0.3">
      <c r="A238" s="6" t="s">
        <v>875</v>
      </c>
      <c r="B238" s="6"/>
      <c r="C238" s="6"/>
      <c r="D238" s="6"/>
      <c r="E238" s="6"/>
      <c r="F238" s="6"/>
      <c r="G238" s="6"/>
      <c r="H238" s="6"/>
      <c r="I238" s="6"/>
      <c r="J238" s="6"/>
      <c r="K238" s="6"/>
      <c r="L238" s="6"/>
      <c r="M238" s="6"/>
      <c r="N238" s="6"/>
      <c r="O238" s="6"/>
      <c r="P238" s="6"/>
      <c r="Q238" s="6"/>
      <c r="R238" s="5"/>
      <c r="S238" s="5"/>
    </row>
    <row r="239" spans="1:19" ht="60" customHeight="1" x14ac:dyDescent="0.3">
      <c r="A239" s="70">
        <f>A237+1</f>
        <v>204</v>
      </c>
      <c r="B239" s="70">
        <v>28</v>
      </c>
      <c r="C239" s="71" t="s">
        <v>16</v>
      </c>
      <c r="D239" s="71" t="s">
        <v>17</v>
      </c>
      <c r="E239" s="72" t="s">
        <v>876</v>
      </c>
      <c r="F239" s="72" t="s">
        <v>860</v>
      </c>
      <c r="G239" s="72" t="s">
        <v>210</v>
      </c>
      <c r="H239" s="72" t="s">
        <v>211</v>
      </c>
      <c r="I239" s="72" t="s">
        <v>877</v>
      </c>
      <c r="J239" s="70"/>
      <c r="K239" s="70"/>
      <c r="L239" s="71" t="s">
        <v>18</v>
      </c>
      <c r="M239" s="70" t="s">
        <v>213</v>
      </c>
      <c r="N239" s="70"/>
      <c r="O239" s="70" t="s">
        <v>213</v>
      </c>
      <c r="P239" s="70" t="s">
        <v>213</v>
      </c>
      <c r="Q239" s="70" t="s">
        <v>214</v>
      </c>
      <c r="R239" s="70" t="s">
        <v>29</v>
      </c>
      <c r="S239" s="70" t="s">
        <v>878</v>
      </c>
    </row>
    <row r="240" spans="1:19" ht="60" customHeight="1" x14ac:dyDescent="0.3">
      <c r="A240" s="68">
        <f>A239+1</f>
        <v>205</v>
      </c>
      <c r="B240" s="68">
        <v>28</v>
      </c>
      <c r="C240" s="68" t="s">
        <v>226</v>
      </c>
      <c r="D240" s="68" t="s">
        <v>17</v>
      </c>
      <c r="E240" s="69" t="s">
        <v>879</v>
      </c>
      <c r="F240" s="69" t="s">
        <v>860</v>
      </c>
      <c r="G240" s="69" t="s">
        <v>228</v>
      </c>
      <c r="H240" s="69" t="s">
        <v>229</v>
      </c>
      <c r="I240" s="69" t="s">
        <v>880</v>
      </c>
      <c r="J240" s="68"/>
      <c r="K240" s="68"/>
      <c r="L240" s="68" t="s">
        <v>18</v>
      </c>
      <c r="M240" s="68" t="s">
        <v>213</v>
      </c>
      <c r="N240" s="68"/>
      <c r="O240" s="68" t="s">
        <v>213</v>
      </c>
      <c r="P240" s="68" t="s">
        <v>213</v>
      </c>
      <c r="Q240" s="68" t="s">
        <v>214</v>
      </c>
      <c r="R240" s="68" t="s">
        <v>29</v>
      </c>
      <c r="S240" s="68" t="s">
        <v>881</v>
      </c>
    </row>
    <row r="241" spans="1:19" ht="60" customHeight="1" x14ac:dyDescent="0.3">
      <c r="A241" s="70">
        <f>A240+1</f>
        <v>206</v>
      </c>
      <c r="B241" s="70">
        <v>28</v>
      </c>
      <c r="C241" s="71" t="s">
        <v>226</v>
      </c>
      <c r="D241" s="71" t="s">
        <v>17</v>
      </c>
      <c r="E241" s="72" t="s">
        <v>882</v>
      </c>
      <c r="F241" s="72" t="s">
        <v>846</v>
      </c>
      <c r="G241" s="72" t="s">
        <v>228</v>
      </c>
      <c r="H241" s="72" t="s">
        <v>229</v>
      </c>
      <c r="I241" s="72" t="s">
        <v>883</v>
      </c>
      <c r="J241" s="70"/>
      <c r="K241" s="70"/>
      <c r="L241" s="71" t="s">
        <v>18</v>
      </c>
      <c r="M241" s="70" t="s">
        <v>213</v>
      </c>
      <c r="N241" s="70"/>
      <c r="O241" s="70" t="s">
        <v>213</v>
      </c>
      <c r="P241" s="70" t="s">
        <v>213</v>
      </c>
      <c r="Q241" s="70" t="s">
        <v>214</v>
      </c>
      <c r="R241" s="70" t="s">
        <v>29</v>
      </c>
      <c r="S241" s="70" t="s">
        <v>884</v>
      </c>
    </row>
    <row r="242" spans="1:19" ht="60" customHeight="1" x14ac:dyDescent="0.3">
      <c r="A242" s="68">
        <f>A241+1</f>
        <v>207</v>
      </c>
      <c r="B242" s="68">
        <v>28</v>
      </c>
      <c r="C242" s="68" t="s">
        <v>226</v>
      </c>
      <c r="D242" s="68" t="s">
        <v>17</v>
      </c>
      <c r="E242" s="69" t="s">
        <v>885</v>
      </c>
      <c r="F242" s="69" t="s">
        <v>846</v>
      </c>
      <c r="G242" s="69" t="s">
        <v>228</v>
      </c>
      <c r="H242" s="69" t="s">
        <v>229</v>
      </c>
      <c r="I242" s="69" t="s">
        <v>886</v>
      </c>
      <c r="J242" s="68"/>
      <c r="K242" s="68"/>
      <c r="L242" s="68" t="s">
        <v>18</v>
      </c>
      <c r="M242" s="68" t="s">
        <v>213</v>
      </c>
      <c r="N242" s="68"/>
      <c r="O242" s="68" t="s">
        <v>213</v>
      </c>
      <c r="P242" s="68" t="s">
        <v>213</v>
      </c>
      <c r="Q242" s="68" t="s">
        <v>214</v>
      </c>
      <c r="R242" s="68" t="s">
        <v>29</v>
      </c>
      <c r="S242" s="68" t="s">
        <v>887</v>
      </c>
    </row>
    <row r="243" spans="1:19" ht="60" customHeight="1" x14ac:dyDescent="0.3">
      <c r="A243" s="70">
        <f>A242+1</f>
        <v>208</v>
      </c>
      <c r="B243" s="70">
        <v>28</v>
      </c>
      <c r="C243" s="71" t="s">
        <v>226</v>
      </c>
      <c r="D243" s="71" t="s">
        <v>17</v>
      </c>
      <c r="E243" s="72" t="s">
        <v>888</v>
      </c>
      <c r="F243" s="72" t="s">
        <v>846</v>
      </c>
      <c r="G243" s="72" t="s">
        <v>228</v>
      </c>
      <c r="H243" s="72" t="s">
        <v>229</v>
      </c>
      <c r="I243" s="72" t="s">
        <v>889</v>
      </c>
      <c r="J243" s="70"/>
      <c r="K243" s="70"/>
      <c r="L243" s="71" t="s">
        <v>18</v>
      </c>
      <c r="M243" s="70" t="s">
        <v>213</v>
      </c>
      <c r="N243" s="70"/>
      <c r="O243" s="70" t="s">
        <v>213</v>
      </c>
      <c r="P243" s="70" t="s">
        <v>213</v>
      </c>
      <c r="Q243" s="70" t="s">
        <v>214</v>
      </c>
      <c r="R243" s="70" t="s">
        <v>29</v>
      </c>
      <c r="S243" s="70" t="s">
        <v>890</v>
      </c>
    </row>
    <row r="244" spans="1:19" ht="19.5" customHeight="1" x14ac:dyDescent="0.3">
      <c r="A244" s="6" t="s">
        <v>891</v>
      </c>
      <c r="B244" s="6"/>
      <c r="C244" s="6"/>
      <c r="D244" s="6"/>
      <c r="E244" s="6"/>
      <c r="F244" s="6"/>
      <c r="G244" s="6"/>
      <c r="H244" s="6"/>
      <c r="I244" s="6"/>
      <c r="J244" s="6"/>
      <c r="K244" s="6"/>
      <c r="L244" s="6"/>
      <c r="M244" s="6"/>
      <c r="N244" s="6"/>
      <c r="O244" s="6"/>
      <c r="P244" s="6"/>
      <c r="Q244" s="6"/>
      <c r="R244" s="5"/>
      <c r="S244" s="5"/>
    </row>
    <row r="245" spans="1:19" ht="60" customHeight="1" x14ac:dyDescent="0.3">
      <c r="A245" s="68">
        <f>A243+1</f>
        <v>209</v>
      </c>
      <c r="B245" s="68">
        <v>29</v>
      </c>
      <c r="C245" s="68" t="s">
        <v>226</v>
      </c>
      <c r="D245" s="68" t="s">
        <v>17</v>
      </c>
      <c r="E245" s="69" t="s">
        <v>892</v>
      </c>
      <c r="F245" s="69" t="s">
        <v>846</v>
      </c>
      <c r="G245" s="69" t="s">
        <v>228</v>
      </c>
      <c r="H245" s="69" t="s">
        <v>229</v>
      </c>
      <c r="I245" s="69" t="s">
        <v>893</v>
      </c>
      <c r="J245" s="68"/>
      <c r="K245" s="68"/>
      <c r="L245" s="68" t="s">
        <v>18</v>
      </c>
      <c r="M245" s="68" t="s">
        <v>213</v>
      </c>
      <c r="N245" s="68"/>
      <c r="O245" s="68" t="s">
        <v>213</v>
      </c>
      <c r="P245" s="68" t="s">
        <v>213</v>
      </c>
      <c r="Q245" s="68" t="s">
        <v>214</v>
      </c>
      <c r="R245" s="68" t="s">
        <v>34</v>
      </c>
      <c r="S245" s="68" t="s">
        <v>894</v>
      </c>
    </row>
    <row r="246" spans="1:19" ht="60" customHeight="1" x14ac:dyDescent="0.3">
      <c r="A246" s="70">
        <f>A245+1</f>
        <v>210</v>
      </c>
      <c r="B246" s="70">
        <v>29</v>
      </c>
      <c r="C246" s="71" t="s">
        <v>226</v>
      </c>
      <c r="D246" s="71" t="s">
        <v>17</v>
      </c>
      <c r="E246" s="72" t="s">
        <v>895</v>
      </c>
      <c r="F246" s="72" t="s">
        <v>846</v>
      </c>
      <c r="G246" s="72" t="s">
        <v>228</v>
      </c>
      <c r="H246" s="72" t="s">
        <v>229</v>
      </c>
      <c r="I246" s="72" t="s">
        <v>896</v>
      </c>
      <c r="J246" s="70"/>
      <c r="K246" s="70"/>
      <c r="L246" s="71" t="s">
        <v>18</v>
      </c>
      <c r="M246" s="70" t="s">
        <v>213</v>
      </c>
      <c r="N246" s="70"/>
      <c r="O246" s="70" t="s">
        <v>213</v>
      </c>
      <c r="P246" s="70" t="s">
        <v>213</v>
      </c>
      <c r="Q246" s="70" t="s">
        <v>214</v>
      </c>
      <c r="R246" s="70" t="s">
        <v>34</v>
      </c>
      <c r="S246" s="70" t="s">
        <v>897</v>
      </c>
    </row>
    <row r="247" spans="1:19" ht="60" customHeight="1" x14ac:dyDescent="0.3">
      <c r="A247" s="68">
        <f>A246+1</f>
        <v>211</v>
      </c>
      <c r="B247" s="68">
        <v>29</v>
      </c>
      <c r="C247" s="68" t="s">
        <v>226</v>
      </c>
      <c r="D247" s="68" t="s">
        <v>17</v>
      </c>
      <c r="E247" s="69" t="s">
        <v>898</v>
      </c>
      <c r="F247" s="69" t="s">
        <v>846</v>
      </c>
      <c r="G247" s="69" t="s">
        <v>228</v>
      </c>
      <c r="H247" s="69" t="s">
        <v>229</v>
      </c>
      <c r="I247" s="69" t="s">
        <v>899</v>
      </c>
      <c r="J247" s="68"/>
      <c r="K247" s="68"/>
      <c r="L247" s="68" t="s">
        <v>18</v>
      </c>
      <c r="M247" s="68" t="s">
        <v>213</v>
      </c>
      <c r="N247" s="68"/>
      <c r="O247" s="68" t="s">
        <v>213</v>
      </c>
      <c r="P247" s="68" t="s">
        <v>213</v>
      </c>
      <c r="Q247" s="68" t="s">
        <v>214</v>
      </c>
      <c r="R247" s="68" t="s">
        <v>34</v>
      </c>
      <c r="S247" s="68" t="s">
        <v>900</v>
      </c>
    </row>
    <row r="248" spans="1:19" ht="60" customHeight="1" x14ac:dyDescent="0.3">
      <c r="A248" s="70">
        <f>A247+1</f>
        <v>212</v>
      </c>
      <c r="B248" s="70">
        <v>29</v>
      </c>
      <c r="C248" s="71" t="s">
        <v>226</v>
      </c>
      <c r="D248" s="71" t="s">
        <v>17</v>
      </c>
      <c r="E248" s="72" t="s">
        <v>901</v>
      </c>
      <c r="F248" s="72" t="s">
        <v>846</v>
      </c>
      <c r="G248" s="72" t="s">
        <v>228</v>
      </c>
      <c r="H248" s="72" t="s">
        <v>229</v>
      </c>
      <c r="I248" s="72" t="s">
        <v>902</v>
      </c>
      <c r="J248" s="70"/>
      <c r="K248" s="70"/>
      <c r="L248" s="71" t="s">
        <v>18</v>
      </c>
      <c r="M248" s="70" t="s">
        <v>213</v>
      </c>
      <c r="N248" s="70"/>
      <c r="O248" s="70" t="s">
        <v>213</v>
      </c>
      <c r="P248" s="70" t="s">
        <v>213</v>
      </c>
      <c r="Q248" s="70" t="s">
        <v>214</v>
      </c>
      <c r="R248" s="70" t="s">
        <v>34</v>
      </c>
      <c r="S248" s="70" t="s">
        <v>903</v>
      </c>
    </row>
    <row r="249" spans="1:19" ht="60" customHeight="1" x14ac:dyDescent="0.3">
      <c r="A249" s="68">
        <f>A248+1</f>
        <v>213</v>
      </c>
      <c r="B249" s="68">
        <v>29</v>
      </c>
      <c r="C249" s="68" t="s">
        <v>226</v>
      </c>
      <c r="D249" s="68" t="s">
        <v>17</v>
      </c>
      <c r="E249" s="69" t="s">
        <v>904</v>
      </c>
      <c r="F249" s="69" t="s">
        <v>846</v>
      </c>
      <c r="G249" s="69" t="s">
        <v>228</v>
      </c>
      <c r="H249" s="69" t="s">
        <v>229</v>
      </c>
      <c r="I249" s="69" t="s">
        <v>905</v>
      </c>
      <c r="J249" s="68"/>
      <c r="K249" s="68"/>
      <c r="L249" s="68" t="s">
        <v>18</v>
      </c>
      <c r="M249" s="68" t="s">
        <v>213</v>
      </c>
      <c r="N249" s="68"/>
      <c r="O249" s="68" t="s">
        <v>213</v>
      </c>
      <c r="P249" s="68" t="s">
        <v>213</v>
      </c>
      <c r="Q249" s="68" t="s">
        <v>214</v>
      </c>
      <c r="R249" s="68" t="s">
        <v>34</v>
      </c>
      <c r="S249" s="68" t="s">
        <v>906</v>
      </c>
    </row>
  </sheetData>
  <mergeCells count="69">
    <mergeCell ref="A238:Q238"/>
    <mergeCell ref="R238:S238"/>
    <mergeCell ref="A244:Q244"/>
    <mergeCell ref="R244:S244"/>
    <mergeCell ref="A215:Q215"/>
    <mergeCell ref="R215:S215"/>
    <mergeCell ref="A224:Q224"/>
    <mergeCell ref="R224:S224"/>
    <mergeCell ref="A232:Q232"/>
    <mergeCell ref="R232:S232"/>
    <mergeCell ref="A200:Q200"/>
    <mergeCell ref="R200:S200"/>
    <mergeCell ref="A205:Q205"/>
    <mergeCell ref="R205:S205"/>
    <mergeCell ref="A209:Q209"/>
    <mergeCell ref="R209:S209"/>
    <mergeCell ref="A189:Q189"/>
    <mergeCell ref="R189:S189"/>
    <mergeCell ref="A193:Q193"/>
    <mergeCell ref="R193:S193"/>
    <mergeCell ref="A197:Q197"/>
    <mergeCell ref="R197:S197"/>
    <mergeCell ref="A173:Q173"/>
    <mergeCell ref="R173:S173"/>
    <mergeCell ref="A179:Q179"/>
    <mergeCell ref="R179:S179"/>
    <mergeCell ref="A185:Q185"/>
    <mergeCell ref="R185:S185"/>
    <mergeCell ref="A140:Q140"/>
    <mergeCell ref="R140:S140"/>
    <mergeCell ref="A152:Q152"/>
    <mergeCell ref="R152:S152"/>
    <mergeCell ref="A159:Q159"/>
    <mergeCell ref="R159:S159"/>
    <mergeCell ref="A99:Q99"/>
    <mergeCell ref="R99:S99"/>
    <mergeCell ref="A117:Q117"/>
    <mergeCell ref="R117:S117"/>
    <mergeCell ref="A130:Q130"/>
    <mergeCell ref="R130:S130"/>
    <mergeCell ref="A64:Q64"/>
    <mergeCell ref="R64:S64"/>
    <mergeCell ref="A78:Q78"/>
    <mergeCell ref="R78:S78"/>
    <mergeCell ref="A86:Q86"/>
    <mergeCell ref="R86:S86"/>
    <mergeCell ref="A20:Q20"/>
    <mergeCell ref="R20:S20"/>
    <mergeCell ref="A35:Q35"/>
    <mergeCell ref="R35:S35"/>
    <mergeCell ref="A49:Q49"/>
    <mergeCell ref="R49:S49"/>
    <mergeCell ref="A8:Q8"/>
    <mergeCell ref="R8:S8"/>
    <mergeCell ref="A12:Q12"/>
    <mergeCell ref="R12:S12"/>
    <mergeCell ref="A16:Q16"/>
    <mergeCell ref="R16:S16"/>
    <mergeCell ref="A4:D4"/>
    <mergeCell ref="G4:J4"/>
    <mergeCell ref="A5:D5"/>
    <mergeCell ref="G5:J5"/>
    <mergeCell ref="A6:D6"/>
    <mergeCell ref="G6:J6"/>
    <mergeCell ref="A1:M1"/>
    <mergeCell ref="A2:E2"/>
    <mergeCell ref="G2:K2"/>
    <mergeCell ref="A3:D3"/>
    <mergeCell ref="G3:J3"/>
  </mergeCells>
  <dataValidations count="3">
    <dataValidation type="list" allowBlank="1" sqref="D8:D996" xr:uid="{00000000-0002-0000-0200-000000000000}">
      <formula1>"InDraft,PendingReview,Test Ready"</formula1>
      <formula2>0</formula2>
    </dataValidation>
    <dataValidation type="list" allowBlank="1" sqref="L8:L996" xr:uid="{00000000-0002-0000-0200-000001000000}">
      <formula1>"Not Executed,Passed,Failed,Blocked"</formula1>
      <formula2>0</formula2>
    </dataValidation>
    <dataValidation type="list" allowBlank="1" sqref="C8:C996" xr:uid="{00000000-0002-0000-0200-000002000000}">
      <formula1>"P1,P2,P3"</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
  <sheetViews>
    <sheetView tabSelected="1" zoomScaleNormal="100" workbookViewId="0">
      <selection sqref="A1:E1"/>
    </sheetView>
  </sheetViews>
  <sheetFormatPr defaultColWidth="8.6640625" defaultRowHeight="14.4" x14ac:dyDescent="0.3"/>
  <cols>
    <col min="1" max="1" width="7.6640625" style="15" bestFit="1" customWidth="1"/>
    <col min="2" max="2" width="12" style="15" customWidth="1"/>
    <col min="3" max="3" width="26" style="15" customWidth="1"/>
    <col min="4" max="4" width="34" style="15" customWidth="1"/>
    <col min="5" max="5" width="12" style="15" customWidth="1"/>
    <col min="6" max="6" width="14" style="15" customWidth="1"/>
    <col min="7" max="7" width="12" style="15" customWidth="1"/>
    <col min="8" max="8" width="16" style="15" customWidth="1"/>
    <col min="9" max="11" width="26" style="15" customWidth="1"/>
    <col min="12" max="13" width="12" style="15" customWidth="1"/>
  </cols>
  <sheetData>
    <row r="1" spans="1:13" ht="21.75" customHeight="1" x14ac:dyDescent="0.3">
      <c r="A1" s="11" t="s">
        <v>907</v>
      </c>
      <c r="B1" s="11"/>
      <c r="C1" s="11"/>
      <c r="D1" s="11"/>
      <c r="E1" s="11"/>
    </row>
    <row r="2" spans="1:13" ht="26.4" x14ac:dyDescent="0.3">
      <c r="A2" s="58" t="s">
        <v>908</v>
      </c>
      <c r="B2" s="58">
        <f>COUNTIFS(F4:F996,"Critical")</f>
        <v>0</v>
      </c>
      <c r="C2" s="58" t="s">
        <v>909</v>
      </c>
      <c r="D2" s="58">
        <f>COUNTIFS(F4:F996,"High")</f>
        <v>0</v>
      </c>
      <c r="E2" s="58" t="s">
        <v>910</v>
      </c>
      <c r="F2" s="58">
        <f>COUNTIFS(F4:F996,"Medium")</f>
        <v>0</v>
      </c>
      <c r="G2" s="58" t="s">
        <v>911</v>
      </c>
      <c r="H2" s="58">
        <f>COUNTIFS(F4:F996,"Low")</f>
        <v>0</v>
      </c>
      <c r="I2" s="58" t="s">
        <v>912</v>
      </c>
      <c r="J2" s="58">
        <f>COUNTA(A4:A996)</f>
        <v>0</v>
      </c>
    </row>
    <row r="3" spans="1:13" ht="15" customHeight="1" x14ac:dyDescent="0.3">
      <c r="A3" s="55" t="s">
        <v>913</v>
      </c>
      <c r="B3" s="55" t="s">
        <v>2</v>
      </c>
      <c r="C3" s="55" t="s">
        <v>914</v>
      </c>
      <c r="D3" s="55" t="s">
        <v>915</v>
      </c>
      <c r="E3" s="55" t="s">
        <v>916</v>
      </c>
      <c r="F3" s="55" t="s">
        <v>917</v>
      </c>
      <c r="G3" s="55" t="s">
        <v>918</v>
      </c>
      <c r="H3" s="55" t="s">
        <v>919</v>
      </c>
      <c r="I3" s="55" t="s">
        <v>920</v>
      </c>
      <c r="J3" s="55" t="s">
        <v>199</v>
      </c>
      <c r="K3" s="55" t="s">
        <v>198</v>
      </c>
      <c r="L3" s="55" t="s">
        <v>6</v>
      </c>
      <c r="M3" s="55" t="s">
        <v>921</v>
      </c>
    </row>
  </sheetData>
  <mergeCells count="1">
    <mergeCell ref="A1:E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9"/>
  </sheetPr>
  <dimension ref="A1:E24"/>
  <sheetViews>
    <sheetView zoomScaleNormal="100" workbookViewId="0">
      <selection activeCell="B20" sqref="B20:E20"/>
    </sheetView>
  </sheetViews>
  <sheetFormatPr defaultColWidth="8.6640625" defaultRowHeight="14.4" x14ac:dyDescent="0.3"/>
  <cols>
    <col min="1" max="1" width="22" style="15" customWidth="1"/>
    <col min="2" max="2" width="26" style="15" customWidth="1"/>
    <col min="3" max="3" width="30" style="15" customWidth="1"/>
    <col min="4" max="4" width="46" style="15" customWidth="1"/>
    <col min="5" max="5" width="20" style="15" customWidth="1"/>
  </cols>
  <sheetData>
    <row r="1" spans="1:5" ht="21.75" customHeight="1" x14ac:dyDescent="0.3">
      <c r="A1" s="11" t="s">
        <v>922</v>
      </c>
      <c r="B1" s="11"/>
      <c r="C1" s="11"/>
      <c r="D1" s="11"/>
      <c r="E1" s="11"/>
    </row>
    <row r="2" spans="1:5" ht="33.75" customHeight="1" x14ac:dyDescent="0.3"/>
    <row r="3" spans="1:5" ht="21.75" customHeight="1" x14ac:dyDescent="0.3">
      <c r="A3" s="4" t="s">
        <v>923</v>
      </c>
      <c r="B3" s="4"/>
      <c r="C3" s="4"/>
      <c r="D3" s="4"/>
      <c r="E3" s="4"/>
    </row>
    <row r="4" spans="1:5" ht="15" customHeight="1" x14ac:dyDescent="0.3">
      <c r="A4" s="74" t="s">
        <v>6</v>
      </c>
      <c r="B4" s="74" t="s">
        <v>924</v>
      </c>
      <c r="C4" s="74" t="s">
        <v>925</v>
      </c>
      <c r="D4" s="74" t="s">
        <v>926</v>
      </c>
      <c r="E4" s="74" t="s">
        <v>927</v>
      </c>
    </row>
    <row r="5" spans="1:5" ht="33.75" customHeight="1" x14ac:dyDescent="0.3">
      <c r="A5" s="75" t="s">
        <v>226</v>
      </c>
      <c r="B5" s="75" t="s">
        <v>928</v>
      </c>
      <c r="C5" s="75" t="s">
        <v>929</v>
      </c>
      <c r="D5" s="75" t="s">
        <v>930</v>
      </c>
      <c r="E5" s="75" t="s">
        <v>931</v>
      </c>
    </row>
    <row r="6" spans="1:5" ht="33.75" customHeight="1" x14ac:dyDescent="0.3">
      <c r="A6" s="76" t="s">
        <v>16</v>
      </c>
      <c r="B6" s="76" t="s">
        <v>932</v>
      </c>
      <c r="C6" s="76" t="s">
        <v>933</v>
      </c>
      <c r="D6" s="76" t="s">
        <v>934</v>
      </c>
      <c r="E6" s="76" t="s">
        <v>935</v>
      </c>
    </row>
    <row r="7" spans="1:5" ht="33.75" customHeight="1" x14ac:dyDescent="0.3">
      <c r="A7" s="77" t="s">
        <v>54</v>
      </c>
      <c r="B7" s="77" t="s">
        <v>936</v>
      </c>
      <c r="C7" s="77" t="s">
        <v>937</v>
      </c>
      <c r="D7" s="77" t="s">
        <v>938</v>
      </c>
      <c r="E7" s="77" t="s">
        <v>939</v>
      </c>
    </row>
    <row r="8" spans="1:5" ht="33.75" customHeight="1" x14ac:dyDescent="0.3">
      <c r="A8" s="78" t="s">
        <v>344</v>
      </c>
      <c r="B8" s="78" t="s">
        <v>940</v>
      </c>
      <c r="C8" s="78" t="s">
        <v>941</v>
      </c>
      <c r="D8" s="78" t="s">
        <v>942</v>
      </c>
      <c r="E8" s="78" t="s">
        <v>943</v>
      </c>
    </row>
    <row r="9" spans="1:5" ht="33.75" customHeight="1" x14ac:dyDescent="0.3"/>
    <row r="10" spans="1:5" ht="14.25" customHeight="1" x14ac:dyDescent="0.3">
      <c r="A10" s="4" t="s">
        <v>944</v>
      </c>
      <c r="B10" s="4"/>
      <c r="C10" s="4"/>
      <c r="D10" s="4"/>
      <c r="E10" s="4"/>
    </row>
    <row r="11" spans="1:5" ht="21.75" customHeight="1" x14ac:dyDescent="0.3">
      <c r="A11" s="74" t="s">
        <v>6</v>
      </c>
      <c r="B11" s="74" t="s">
        <v>924</v>
      </c>
      <c r="C11" s="74" t="s">
        <v>925</v>
      </c>
      <c r="D11" s="74" t="s">
        <v>926</v>
      </c>
      <c r="E11" s="74" t="s">
        <v>927</v>
      </c>
    </row>
    <row r="12" spans="1:5" ht="33.75" customHeight="1" x14ac:dyDescent="0.3">
      <c r="A12" s="79" t="s">
        <v>226</v>
      </c>
      <c r="B12" s="79" t="s">
        <v>945</v>
      </c>
      <c r="C12" s="79" t="s">
        <v>946</v>
      </c>
      <c r="D12" s="79" t="s">
        <v>947</v>
      </c>
      <c r="E12" s="79" t="s">
        <v>948</v>
      </c>
    </row>
    <row r="13" spans="1:5" ht="33.75" customHeight="1" x14ac:dyDescent="0.3">
      <c r="A13" s="75" t="s">
        <v>16</v>
      </c>
      <c r="B13" s="75" t="s">
        <v>949</v>
      </c>
      <c r="C13" s="75" t="s">
        <v>950</v>
      </c>
      <c r="D13" s="75" t="s">
        <v>951</v>
      </c>
      <c r="E13" s="75" t="s">
        <v>952</v>
      </c>
    </row>
    <row r="14" spans="1:5" ht="33.75" customHeight="1" x14ac:dyDescent="0.3">
      <c r="A14" s="76" t="s">
        <v>54</v>
      </c>
      <c r="B14" s="76" t="s">
        <v>953</v>
      </c>
      <c r="C14" s="76" t="s">
        <v>954</v>
      </c>
      <c r="D14" s="76" t="s">
        <v>955</v>
      </c>
      <c r="E14" s="76" t="s">
        <v>939</v>
      </c>
    </row>
    <row r="15" spans="1:5" ht="33.75" customHeight="1" x14ac:dyDescent="0.3">
      <c r="A15" s="77" t="s">
        <v>344</v>
      </c>
      <c r="B15" s="77" t="s">
        <v>956</v>
      </c>
      <c r="C15" s="77" t="s">
        <v>957</v>
      </c>
      <c r="D15" s="77" t="s">
        <v>958</v>
      </c>
      <c r="E15" s="77" t="s">
        <v>943</v>
      </c>
    </row>
    <row r="16" spans="1:5" ht="33.75" customHeight="1" x14ac:dyDescent="0.3">
      <c r="A16" s="80"/>
      <c r="B16" s="81"/>
      <c r="C16" s="81"/>
      <c r="D16" s="81"/>
      <c r="E16" s="81"/>
    </row>
    <row r="17" spans="1:5" ht="14.25" customHeight="1" x14ac:dyDescent="0.3">
      <c r="A17" s="4" t="s">
        <v>959</v>
      </c>
      <c r="B17" s="4"/>
      <c r="C17" s="4"/>
      <c r="D17" s="4"/>
      <c r="E17" s="4"/>
    </row>
    <row r="18" spans="1:5" ht="33.75" customHeight="1" x14ac:dyDescent="0.3">
      <c r="A18" s="82" t="s">
        <v>960</v>
      </c>
      <c r="B18" s="3" t="s">
        <v>961</v>
      </c>
      <c r="C18" s="3"/>
      <c r="D18" s="3"/>
      <c r="E18" s="3"/>
    </row>
    <row r="19" spans="1:5" ht="33.75" customHeight="1" x14ac:dyDescent="0.3">
      <c r="A19" s="83" t="s">
        <v>962</v>
      </c>
      <c r="B19" s="3" t="s">
        <v>963</v>
      </c>
      <c r="C19" s="3"/>
      <c r="D19" s="3"/>
      <c r="E19" s="3"/>
    </row>
    <row r="20" spans="1:5" ht="33.75" customHeight="1" x14ac:dyDescent="0.3">
      <c r="A20" s="84" t="s">
        <v>964</v>
      </c>
      <c r="B20" s="2" t="s">
        <v>965</v>
      </c>
      <c r="C20" s="2"/>
      <c r="D20" s="2"/>
      <c r="E20" s="2"/>
    </row>
    <row r="21" spans="1:5" ht="33.75" customHeight="1" x14ac:dyDescent="0.3">
      <c r="A21" s="85" t="s">
        <v>966</v>
      </c>
      <c r="B21" s="1" t="s">
        <v>967</v>
      </c>
      <c r="C21" s="1"/>
      <c r="D21" s="1"/>
      <c r="E21" s="1"/>
    </row>
    <row r="22" spans="1:5" ht="33.75" customHeight="1" x14ac:dyDescent="0.3">
      <c r="A22" s="85" t="s">
        <v>968</v>
      </c>
      <c r="B22" s="2" t="s">
        <v>969</v>
      </c>
      <c r="C22" s="2"/>
      <c r="D22" s="2"/>
      <c r="E22" s="2"/>
    </row>
    <row r="23" spans="1:5" ht="45" customHeight="1" x14ac:dyDescent="0.3">
      <c r="A23" s="86"/>
      <c r="B23" s="87"/>
    </row>
    <row r="24" spans="1:5" ht="45" customHeight="1" x14ac:dyDescent="0.3">
      <c r="A24" s="86"/>
      <c r="B24" s="88"/>
    </row>
  </sheetData>
  <mergeCells count="9">
    <mergeCell ref="B19:E19"/>
    <mergeCell ref="B20:E20"/>
    <mergeCell ref="B21:E21"/>
    <mergeCell ref="B22:E22"/>
    <mergeCell ref="A1:E1"/>
    <mergeCell ref="A3:E3"/>
    <mergeCell ref="A10:E10"/>
    <mergeCell ref="A17:E17"/>
    <mergeCell ref="B18:E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أوراق العمل</vt:lpstr>
      </vt:variant>
      <vt:variant>
        <vt:i4>5</vt:i4>
      </vt:variant>
    </vt:vector>
  </HeadingPairs>
  <TitlesOfParts>
    <vt:vector size="5" baseType="lpstr">
      <vt:lpstr>Requirement Traceability Matrix</vt:lpstr>
      <vt:lpstr>Summary</vt:lpstr>
      <vt:lpstr>Test Cases</vt:lpstr>
      <vt:lpstr>Bugs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Victus</cp:lastModifiedBy>
  <cp:revision>0</cp:revision>
  <dcterms:created xsi:type="dcterms:W3CDTF">2026-03-24T14:41:05Z</dcterms:created>
  <dcterms:modified xsi:type="dcterms:W3CDTF">2026-09-26T13:32:50Z</dcterms:modified>
  <dc:language>en-US</dc:language>
</cp:coreProperties>
</file>